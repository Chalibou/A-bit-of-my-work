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worksheets/sheet6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chartsheets/sheet2.xml" ContentType="application/vnd.openxmlformats-officedocument.spreadsheetml.chartsheet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hidePivotFieldList="1" defaultThemeVersion="124226"/>
  <bookViews>
    <workbookView xWindow="480" yWindow="300" windowWidth="14910" windowHeight="7335" tabRatio="774"/>
  </bookViews>
  <sheets>
    <sheet name="Notice" sheetId="7" r:id="rId1"/>
    <sheet name="Gestion des risques" sheetId="8" r:id="rId2"/>
    <sheet name="Raci" sheetId="12" r:id="rId3"/>
    <sheet name="Matrice de risques" sheetId="5" r:id="rId4"/>
    <sheet name="Radar risques" sheetId="10" r:id="rId5"/>
    <sheet name="Suivi impact" sheetId="11" r:id="rId6"/>
    <sheet name="Catalogue" sheetId="1" r:id="rId7"/>
    <sheet name="Code" sheetId="4" r:id="rId8"/>
  </sheets>
  <definedNames>
    <definedName name="_xlnm._FilterDatabase" localSheetId="6" hidden="1">Catalogue!$A$1:$K$63</definedName>
    <definedName name="_xlnm._FilterDatabase" localSheetId="1" hidden="1">'Gestion des risques'!$A$3:$AE$23</definedName>
  </definedNames>
  <calcPr calcId="125725"/>
</workbook>
</file>

<file path=xl/calcChain.xml><?xml version="1.0" encoding="utf-8"?>
<calcChain xmlns="http://schemas.openxmlformats.org/spreadsheetml/2006/main">
  <c r="A8" i="1"/>
  <c r="A52"/>
  <c r="A10"/>
  <c r="A7"/>
  <c r="A9"/>
  <c r="A6"/>
  <c r="A5"/>
  <c r="A36"/>
  <c r="A37"/>
  <c r="A65"/>
  <c r="A54"/>
  <c r="A32"/>
  <c r="A22"/>
  <c r="A11"/>
  <c r="A12"/>
  <c r="A13"/>
  <c r="A14"/>
  <c r="A15"/>
  <c r="A16"/>
  <c r="A17"/>
  <c r="A18"/>
  <c r="A19"/>
  <c r="A20"/>
  <c r="A21"/>
  <c r="A23"/>
  <c r="A24"/>
  <c r="A25"/>
  <c r="A26"/>
  <c r="A27"/>
  <c r="A28"/>
  <c r="A29"/>
  <c r="A30"/>
  <c r="A31"/>
  <c r="A33"/>
  <c r="A34"/>
  <c r="A35"/>
  <c r="A38"/>
  <c r="A39"/>
  <c r="A40"/>
  <c r="A41"/>
  <c r="A42"/>
  <c r="A43"/>
  <c r="A44"/>
  <c r="A45"/>
  <c r="A46"/>
  <c r="A47"/>
  <c r="A48"/>
  <c r="A49"/>
  <c r="A50"/>
  <c r="A51"/>
  <c r="A53"/>
  <c r="A55"/>
  <c r="A56"/>
  <c r="A57"/>
  <c r="A58"/>
  <c r="A59"/>
  <c r="A60"/>
  <c r="A61"/>
  <c r="A62"/>
  <c r="A63"/>
  <c r="A64"/>
  <c r="A4"/>
  <c r="A3"/>
  <c r="A2"/>
</calcChain>
</file>

<file path=xl/sharedStrings.xml><?xml version="1.0" encoding="utf-8"?>
<sst xmlns="http://schemas.openxmlformats.org/spreadsheetml/2006/main" count="303" uniqueCount="161">
  <si>
    <t>N°</t>
  </si>
  <si>
    <t>Catégorie</t>
  </si>
  <si>
    <t>Risque</t>
  </si>
  <si>
    <t>Description</t>
  </si>
  <si>
    <t>Absence de stratégie / Stratégie mal définie</t>
  </si>
  <si>
    <t>Technique</t>
  </si>
  <si>
    <t>Méthodologie</t>
  </si>
  <si>
    <t>Risque de ne pas obtenir de validation du cahier des charges ou que cette validation soit tardive, risque de remise en cause de la validation</t>
  </si>
  <si>
    <t>Cycle de développement peu ou pas formalisé</t>
  </si>
  <si>
    <t>Le cycle de développement de la solution est peu ou pas formalisé</t>
  </si>
  <si>
    <t>Transition entre les phases de projet floues,
Absence de jalons</t>
  </si>
  <si>
    <t>Planning</t>
  </si>
  <si>
    <t>Planning optimiste</t>
  </si>
  <si>
    <t xml:space="preserve">Le planning ne prend en compte ni les principaux facteurs de risque ni les caractéristiques du projet. </t>
  </si>
  <si>
    <t>Aucune marge de sécurité dans le planning</t>
  </si>
  <si>
    <t>Planning non conforme à la réalité</t>
  </si>
  <si>
    <t xml:space="preserve">Le planning ne correspond pas/plus au déroulement réel du projet. </t>
  </si>
  <si>
    <t>Faible niveau des indicateurs de performance par rapport au planning</t>
  </si>
  <si>
    <t>Le suivi du projet n'est pas plus pertinent et devient inefficace</t>
  </si>
  <si>
    <t>Tableaux de bord non mis à jour</t>
  </si>
  <si>
    <t>Absence de suivi des risques</t>
  </si>
  <si>
    <t>Absence de mise à jour de l'analyse de risques</t>
  </si>
  <si>
    <t xml:space="preserve">Manque de formalisme pour la validation.  </t>
  </si>
  <si>
    <t>Les validations sont tacites, par défaut ou informelles ce qui ne permet pas un suivi efficace du projet, des décisions et du planning</t>
  </si>
  <si>
    <t>Absences systématiques de remarques sur les livrables,
Validation tacite par dépassement des délais</t>
  </si>
  <si>
    <t>Non respect des standards de qualité</t>
  </si>
  <si>
    <t>Les standards de qualité (définis au niveau du projet ou issus des règles de l'art) ne sont pas respectés</t>
  </si>
  <si>
    <t>Nombreuses remarques et/ou anomalies lors de chaque livraison</t>
  </si>
  <si>
    <t>Mauvaises méthodes de travail.</t>
  </si>
  <si>
    <t>Les méthodes sont inadaptées au travail à réaliser</t>
  </si>
  <si>
    <t>Activités non clôturées, 
Avancement logarithmique</t>
  </si>
  <si>
    <t>Mauvaise appréciation des difficultés techniques</t>
  </si>
  <si>
    <t>Absence d'experts ou de compétences techniques dans l'équipe projet</t>
  </si>
  <si>
    <t>Architecture instable.</t>
  </si>
  <si>
    <t>Choix technologiques sont incohérents</t>
  </si>
  <si>
    <t xml:space="preserve">Altération de la motivation de l'équipe projet. </t>
  </si>
  <si>
    <t>Risque de changement d'interlocuteurs.</t>
  </si>
  <si>
    <t>Absence de validation, 
absences retards aux réunions de projet</t>
  </si>
  <si>
    <t xml:space="preserve">Manque de cohésion entre les membres de l'équipe-projet, en raison du manque de dispositifs permettant de fédérer les acteurs du projet (organisation de séminaire, célébration des événements majeurs). </t>
  </si>
  <si>
    <t>Manque de communication entre les acteurs,
Information inégale des acteurs sur le projet</t>
  </si>
  <si>
    <t>Manque de communication interne au projet</t>
  </si>
  <si>
    <t>Manque d'interlocuteur privilégié entre l'équipe technique et les utilisateurs.</t>
  </si>
  <si>
    <t>Risque lié à une communication insuffisante ou pas adaptée à la cible</t>
  </si>
  <si>
    <t>Opposition au projet</t>
  </si>
  <si>
    <t>Évolution des objectifs en cours de projet</t>
  </si>
  <si>
    <t>Évolution des objectifs.</t>
  </si>
  <si>
    <t>Annonce média négative</t>
  </si>
  <si>
    <t>Une annonce média donnant une image négative de la technologie employée ou du déroulement du projet.</t>
  </si>
  <si>
    <t>Remise en cause de décisions validées</t>
  </si>
  <si>
    <t>Les décisions prises sont ignorées (volontairement ou non) par certains acteurs du projet</t>
  </si>
  <si>
    <t>Difficulté de prise de décisions.</t>
  </si>
  <si>
    <t>La prise de décision est longue ou les décisions prises ne sont pas étayées</t>
  </si>
  <si>
    <t>Les hypothèses de départ ne sont pas vérifiées en cours de projet</t>
  </si>
  <si>
    <t>Objectifs non mesurables / trop abstraits</t>
  </si>
  <si>
    <t>Les règles pour faire le bilan des résultats et des objectifs à atteindre, sont peu claires et/ou difficiles à mettre en œuvre</t>
  </si>
  <si>
    <t>Incompréhension terminologique / différence culture</t>
  </si>
  <si>
    <t>Risque d'incompréhension liés à des terminologies propres à chacun des interlocuteurs.</t>
  </si>
  <si>
    <t>Évolution des lois.</t>
  </si>
  <si>
    <t>Manque de disponibilité des acteurs projet</t>
  </si>
  <si>
    <t>Les acteurs du projet ne sont pas suffisament disponibles pour effectuer les tâches prévues dans les délais</t>
  </si>
  <si>
    <t>Responsabilités floues</t>
  </si>
  <si>
    <t>Les responsabilités des différents acteurs ne sont pas clairement définies</t>
  </si>
  <si>
    <t>Tâches sans responsable identifié,
Renvoi de responsabilités entre plusieurs acteurs,
Lenteur des décisions</t>
  </si>
  <si>
    <t>Etude de l'existant non réalisée</t>
  </si>
  <si>
    <t>Absence de description de l'existant dans les livrables</t>
  </si>
  <si>
    <t>Non respect du formalisme ou pas de formalisme entraînant une mauvaise expression des besoins.</t>
  </si>
  <si>
    <t>Besoin flou ou non décrit</t>
  </si>
  <si>
    <t>Validation tacite des utilisateurs, absence ou refus de validation des spécifications</t>
  </si>
  <si>
    <t>Contraintes techniques mal / non définies</t>
  </si>
  <si>
    <t>Les contraintes techniques sont mal définies.</t>
  </si>
  <si>
    <t>L’équipe projet est incapable de montrer un prototype.</t>
  </si>
  <si>
    <t>Les prototypes sont non réutilisables dans les phases suivantes.</t>
  </si>
  <si>
    <t>Le résultat final est différent des besoins réels.</t>
  </si>
  <si>
    <t>Nombreuses anomalies</t>
  </si>
  <si>
    <t>Difficulté d’intégration de la solution.</t>
  </si>
  <si>
    <t>Difficulté d’intégration des technologies.</t>
  </si>
  <si>
    <t>Faible couverture des tests</t>
  </si>
  <si>
    <t>Les tests sont  insuffisants.</t>
  </si>
  <si>
    <t>Nombreuses anomalies découvertes en exploitation,
Non concordance entre spécifications et scénarios de recette</t>
  </si>
  <si>
    <t>Conflits (de personnes/ d'intérêts...)</t>
  </si>
  <si>
    <t>Utilisateurs mécontents,
problèmes de personnes,
absence de communication directe entre deux personnes</t>
  </si>
  <si>
    <t>Indicateur</t>
  </si>
  <si>
    <t>Catégorie Impact</t>
  </si>
  <si>
    <t>P</t>
  </si>
  <si>
    <t>CDP</t>
  </si>
  <si>
    <t>D</t>
  </si>
  <si>
    <t>Les partenaires ne sont pas suffisamment ou correctement soutenus au cours du projet</t>
  </si>
  <si>
    <t>Manque d’implication des partenaires clés</t>
  </si>
  <si>
    <t>Non compréhension des besoins des partenaires</t>
  </si>
  <si>
    <t>G</t>
  </si>
  <si>
    <t>Code risque</t>
  </si>
  <si>
    <t>Impact</t>
  </si>
  <si>
    <t>C</t>
  </si>
  <si>
    <t>Responsable</t>
  </si>
  <si>
    <t>Externe</t>
  </si>
  <si>
    <t>Objectifs</t>
  </si>
  <si>
    <t>Retard au planning</t>
  </si>
  <si>
    <t>Les éléments attendus ne sont pas livrés à temps</t>
  </si>
  <si>
    <t>Peu de nouvelle de l'avancement</t>
  </si>
  <si>
    <t>Code</t>
  </si>
  <si>
    <t>Ressources</t>
  </si>
  <si>
    <t>Mot-clé</t>
  </si>
  <si>
    <t>t0</t>
  </si>
  <si>
    <t>Date</t>
  </si>
  <si>
    <t>Non prise en compte des specification</t>
  </si>
  <si>
    <t>Besoin non intégré dans la specification</t>
  </si>
  <si>
    <t>DP</t>
  </si>
  <si>
    <t>Remise en cause de la validation</t>
  </si>
  <si>
    <t>Évolution des lois en cours de projet</t>
  </si>
  <si>
    <t xml:space="preserve">Altération du suivi de projet </t>
  </si>
  <si>
    <t>Pas de formalisme pour les spécifications</t>
  </si>
  <si>
    <t>Incapacité d'accomplir la demande</t>
  </si>
  <si>
    <t>Appréhension vis-à-vis de la solution</t>
  </si>
  <si>
    <t>Changement d'interlocuteurs</t>
  </si>
  <si>
    <t>Reprise post-validation</t>
  </si>
  <si>
    <t>Obsolescence de la solution</t>
  </si>
  <si>
    <t>Incompatibilité technique</t>
  </si>
  <si>
    <t>Standard non respecté</t>
  </si>
  <si>
    <t>Non prise en compte de l'existant dans les spécs</t>
  </si>
  <si>
    <t xml:space="preserve">Manque de cohésion entre les acteurs </t>
  </si>
  <si>
    <t>Altération de la motivation des équipes</t>
  </si>
  <si>
    <t>Accompagnement des partenaires inadapté</t>
  </si>
  <si>
    <t xml:space="preserve">Communication vers l'extérieur insuffisante </t>
  </si>
  <si>
    <t>t1</t>
  </si>
  <si>
    <t>t2</t>
  </si>
  <si>
    <t>t3</t>
  </si>
  <si>
    <t>t4</t>
  </si>
  <si>
    <t>Lot</t>
  </si>
  <si>
    <t>CP</t>
  </si>
  <si>
    <t>Opposition</t>
  </si>
  <si>
    <t>Perimètre non-atteint</t>
  </si>
  <si>
    <t>Autre</t>
  </si>
  <si>
    <t>Planning non respecté</t>
  </si>
  <si>
    <t>Les éléments attendus sont en rupture de phase avec les autres composantes du projet</t>
  </si>
  <si>
    <t>Concurrence forte</t>
  </si>
  <si>
    <t xml:space="preserve">Espionnage </t>
  </si>
  <si>
    <t>Juridique</t>
  </si>
  <si>
    <t>Procès, ...</t>
  </si>
  <si>
    <t>Mauvaise cible</t>
  </si>
  <si>
    <t>Pas de clients</t>
  </si>
  <si>
    <t>Budget sous-estimé</t>
  </si>
  <si>
    <t>Recettes tardives</t>
  </si>
  <si>
    <t>Economie générale</t>
  </si>
  <si>
    <t>Mauvaise estimation du marché</t>
  </si>
  <si>
    <t>Grève</t>
  </si>
  <si>
    <t>Acteur</t>
  </si>
  <si>
    <t>Consulté</t>
  </si>
  <si>
    <t>Informé</t>
  </si>
  <si>
    <t>Commentaire</t>
  </si>
  <si>
    <t>Init</t>
  </si>
  <si>
    <t>RA</t>
  </si>
  <si>
    <t>CI</t>
  </si>
  <si>
    <t>EXEMPLE 1</t>
  </si>
  <si>
    <t>EXEMPLE 2</t>
  </si>
  <si>
    <t>EX1</t>
  </si>
  <si>
    <t>EX2</t>
  </si>
  <si>
    <t>Compagnie 1</t>
  </si>
  <si>
    <t>Compagnie 2</t>
  </si>
  <si>
    <t>Ceci est un tutoriel</t>
  </si>
  <si>
    <t>E2EX1</t>
  </si>
  <si>
    <t/>
  </si>
</sst>
</file>

<file path=xl/styles.xml><?xml version="1.0" encoding="utf-8"?>
<styleSheet xmlns="http://schemas.openxmlformats.org/spreadsheetml/2006/main">
  <numFmts count="3">
    <numFmt numFmtId="164" formatCode="dd/mm/yy;@"/>
    <numFmt numFmtId="165" formatCode="[Blue][&lt;=30]\ #,##0;[Red][&gt;30]\ #,##0"/>
    <numFmt numFmtId="166" formatCode="dd/mm;@"/>
  </numFmts>
  <fonts count="7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2"/>
      <color theme="1"/>
      <name val="Calibri"/>
      <family val="2"/>
      <scheme val="minor"/>
    </font>
    <font>
      <sz val="12"/>
      <color indexed="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 tint="0.499984740745262"/>
        <bgColor indexed="64"/>
      </patternFill>
    </fill>
    <fill>
      <patternFill patternType="solid">
        <fgColor rgb="FF92D050" tint="0.499984740745262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00">
    <xf numFmtId="0" fontId="0" fillId="0" borderId="0" xfId="0"/>
    <xf numFmtId="0" fontId="1" fillId="0" borderId="0" xfId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" fillId="0" borderId="1" xfId="1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left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0" fillId="0" borderId="0" xfId="0" applyFill="1" applyBorder="1" applyAlignment="1">
      <alignment horizontal="left" vertical="center" wrapText="1"/>
    </xf>
    <xf numFmtId="0" fontId="0" fillId="2" borderId="7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0" fillId="2" borderId="19" xfId="0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>
      <alignment vertical="center"/>
    </xf>
    <xf numFmtId="0" fontId="0" fillId="0" borderId="10" xfId="0" applyBorder="1"/>
    <xf numFmtId="0" fontId="0" fillId="0" borderId="6" xfId="0" applyBorder="1"/>
    <xf numFmtId="0" fontId="0" fillId="0" borderId="11" xfId="0" applyBorder="1"/>
    <xf numFmtId="0" fontId="0" fillId="0" borderId="12" xfId="0" applyFill="1" applyBorder="1"/>
    <xf numFmtId="0" fontId="0" fillId="0" borderId="8" xfId="0" applyFill="1" applyBorder="1"/>
    <xf numFmtId="0" fontId="0" fillId="0" borderId="13" xfId="0" applyFill="1" applyBorder="1"/>
    <xf numFmtId="0" fontId="0" fillId="0" borderId="1" xfId="0" applyBorder="1"/>
    <xf numFmtId="0" fontId="0" fillId="0" borderId="3" xfId="0" applyBorder="1"/>
    <xf numFmtId="0" fontId="0" fillId="0" borderId="23" xfId="0" applyBorder="1"/>
    <xf numFmtId="0" fontId="0" fillId="0" borderId="17" xfId="0" applyBorder="1"/>
    <xf numFmtId="0" fontId="0" fillId="0" borderId="22" xfId="0" applyBorder="1"/>
    <xf numFmtId="0" fontId="0" fillId="0" borderId="24" xfId="0" applyBorder="1"/>
    <xf numFmtId="0" fontId="0" fillId="0" borderId="20" xfId="0" applyBorder="1"/>
    <xf numFmtId="0" fontId="0" fillId="0" borderId="21" xfId="0" applyBorder="1"/>
    <xf numFmtId="0" fontId="4" fillId="0" borderId="0" xfId="0" applyFont="1"/>
    <xf numFmtId="0" fontId="4" fillId="0" borderId="0" xfId="0" applyFont="1" applyBorder="1" applyAlignment="1">
      <alignment vertical="center"/>
    </xf>
    <xf numFmtId="0" fontId="0" fillId="0" borderId="1" xfId="0" applyFill="1" applyBorder="1" applyAlignment="1">
      <alignment horizontal="center" vertical="center" wrapText="1"/>
    </xf>
    <xf numFmtId="0" fontId="0" fillId="0" borderId="1" xfId="0" applyFill="1" applyBorder="1" applyAlignment="1">
      <alignment horizontal="left" vertical="center" wrapText="1"/>
    </xf>
    <xf numFmtId="0" fontId="2" fillId="0" borderId="1" xfId="0" applyFont="1" applyFill="1" applyBorder="1" applyAlignment="1">
      <alignment horizontal="left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2" xfId="0" applyBorder="1"/>
    <xf numFmtId="0" fontId="0" fillId="0" borderId="8" xfId="0" applyBorder="1"/>
    <xf numFmtId="0" fontId="0" fillId="0" borderId="13" xfId="0" applyBorder="1"/>
    <xf numFmtId="0" fontId="0" fillId="0" borderId="2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3" fillId="0" borderId="32" xfId="1" applyFont="1" applyFill="1" applyBorder="1" applyAlignment="1">
      <alignment horizontal="center" vertical="center" wrapText="1"/>
    </xf>
    <xf numFmtId="0" fontId="3" fillId="0" borderId="23" xfId="1" applyFont="1" applyFill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3" fillId="0" borderId="17" xfId="1" applyFont="1" applyFill="1" applyBorder="1" applyAlignment="1">
      <alignment horizontal="center" vertical="center" wrapText="1"/>
    </xf>
    <xf numFmtId="0" fontId="0" fillId="0" borderId="17" xfId="0" applyFill="1" applyBorder="1" applyAlignment="1">
      <alignment horizontal="center" vertical="center" wrapText="1"/>
    </xf>
    <xf numFmtId="0" fontId="2" fillId="0" borderId="17" xfId="0" applyFont="1" applyFill="1" applyBorder="1" applyAlignment="1">
      <alignment horizontal="left" vertical="center" wrapText="1"/>
    </xf>
    <xf numFmtId="0" fontId="0" fillId="0" borderId="17" xfId="0" applyFill="1" applyBorder="1" applyAlignment="1">
      <alignment horizontal="left" vertical="center" wrapText="1"/>
    </xf>
    <xf numFmtId="0" fontId="2" fillId="0" borderId="32" xfId="0" applyFont="1" applyFill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3" fillId="0" borderId="26" xfId="1" applyFont="1" applyFill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2" fillId="0" borderId="17" xfId="0" applyFont="1" applyFill="1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0" fontId="2" fillId="0" borderId="34" xfId="0" applyFont="1" applyBorder="1" applyAlignment="1">
      <alignment horizontal="center" vertical="center" wrapText="1"/>
    </xf>
    <xf numFmtId="0" fontId="3" fillId="2" borderId="3" xfId="1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0" fillId="0" borderId="37" xfId="0" applyFill="1" applyBorder="1"/>
    <xf numFmtId="164" fontId="0" fillId="0" borderId="0" xfId="0" applyNumberFormat="1" applyAlignment="1">
      <alignment horizontal="center" vertical="center" wrapText="1"/>
    </xf>
    <xf numFmtId="0" fontId="0" fillId="0" borderId="18" xfId="0" applyBorder="1"/>
    <xf numFmtId="0" fontId="0" fillId="0" borderId="14" xfId="0" applyBorder="1"/>
    <xf numFmtId="0" fontId="0" fillId="0" borderId="31" xfId="0" applyBorder="1"/>
    <xf numFmtId="0" fontId="0" fillId="0" borderId="39" xfId="0" applyFill="1" applyBorder="1"/>
    <xf numFmtId="0" fontId="0" fillId="0" borderId="40" xfId="0" applyFill="1" applyBorder="1"/>
    <xf numFmtId="0" fontId="0" fillId="0" borderId="41" xfId="0" applyFill="1" applyBorder="1"/>
    <xf numFmtId="0" fontId="0" fillId="0" borderId="39" xfId="0" applyBorder="1"/>
    <xf numFmtId="0" fontId="0" fillId="0" borderId="41" xfId="0" applyBorder="1"/>
    <xf numFmtId="0" fontId="0" fillId="0" borderId="0" xfId="0" applyFill="1"/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0" fillId="3" borderId="39" xfId="0" applyFill="1" applyBorder="1" applyAlignment="1">
      <alignment horizontal="center" vertical="center"/>
    </xf>
    <xf numFmtId="0" fontId="0" fillId="3" borderId="40" xfId="0" applyFill="1" applyBorder="1" applyAlignment="1">
      <alignment horizontal="center" vertical="center"/>
    </xf>
    <xf numFmtId="0" fontId="0" fillId="0" borderId="40" xfId="0" applyBorder="1"/>
    <xf numFmtId="0" fontId="0" fillId="2" borderId="24" xfId="0" applyFill="1" applyBorder="1" applyAlignment="1">
      <alignment horizontal="center" vertical="center"/>
    </xf>
    <xf numFmtId="166" fontId="0" fillId="0" borderId="3" xfId="0" applyNumberFormat="1" applyBorder="1"/>
    <xf numFmtId="0" fontId="0" fillId="0" borderId="35" xfId="0" applyFill="1" applyBorder="1"/>
    <xf numFmtId="0" fontId="0" fillId="2" borderId="9" xfId="0" applyFill="1" applyBorder="1" applyAlignment="1">
      <alignment horizontal="center" vertical="center" wrapText="1"/>
    </xf>
    <xf numFmtId="0" fontId="0" fillId="2" borderId="28" xfId="0" applyFill="1" applyBorder="1" applyAlignment="1">
      <alignment horizontal="center" vertical="center" wrapText="1"/>
    </xf>
    <xf numFmtId="0" fontId="0" fillId="2" borderId="29" xfId="0" applyFill="1" applyBorder="1" applyAlignment="1">
      <alignment horizontal="center" vertical="center" wrapText="1"/>
    </xf>
    <xf numFmtId="0" fontId="0" fillId="2" borderId="7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165" fontId="0" fillId="0" borderId="0" xfId="0" applyNumberForma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/>
    </xf>
    <xf numFmtId="0" fontId="0" fillId="0" borderId="30" xfId="0" applyFill="1" applyBorder="1" applyAlignment="1">
      <alignment horizontal="center" vertical="center" wrapText="1"/>
    </xf>
    <xf numFmtId="165" fontId="0" fillId="0" borderId="0" xfId="0" applyNumberFormat="1" applyBorder="1" applyAlignment="1">
      <alignment horizontal="center" vertical="center" wrapText="1"/>
    </xf>
    <xf numFmtId="164" fontId="0" fillId="0" borderId="0" xfId="0" applyNumberFormat="1" applyBorder="1" applyAlignment="1">
      <alignment horizontal="center" vertical="center" wrapText="1"/>
    </xf>
    <xf numFmtId="14" fontId="0" fillId="0" borderId="0" xfId="0" applyNumberFormat="1" applyBorder="1" applyAlignment="1">
      <alignment horizontal="center" vertical="center" wrapText="1"/>
    </xf>
    <xf numFmtId="0" fontId="0" fillId="0" borderId="0" xfId="0" applyNumberFormat="1" applyBorder="1" applyAlignment="1">
      <alignment horizontal="center" vertical="center" wrapText="1"/>
    </xf>
    <xf numFmtId="0" fontId="0" fillId="2" borderId="22" xfId="0" applyFill="1" applyBorder="1" applyAlignment="1">
      <alignment horizontal="center" vertical="center" wrapText="1"/>
    </xf>
    <xf numFmtId="0" fontId="6" fillId="4" borderId="7" xfId="0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center" vertical="center"/>
    </xf>
  </cellXfs>
  <cellStyles count="2">
    <cellStyle name="Normal" xfId="0" builtinId="0"/>
    <cellStyle name="Normal_Sheet1" xfId="1"/>
  </cellStyles>
  <dxfs count="0"/>
  <tableStyles count="0" defaultTableStyle="TableStyleMedium9" defaultPivotStyle="PivotStyleLight16"/>
  <colors>
    <mruColors>
      <color rgb="FFFF7979"/>
      <color rgb="FF008000"/>
      <color rgb="FF00CC00"/>
      <color rgb="FFD81A1A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6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5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openxmlformats.org/officeDocument/2006/relationships/sharedStrings" Target="sharedStrings.xml"/><Relationship Id="rId5" Type="http://schemas.openxmlformats.org/officeDocument/2006/relationships/chartsheet" Target="chartsheets/sheet2.xml"/><Relationship Id="rId10" Type="http://schemas.openxmlformats.org/officeDocument/2006/relationships/styles" Target="styles.xml"/><Relationship Id="rId4" Type="http://schemas.openxmlformats.org/officeDocument/2006/relationships/chartsheet" Target="chartsheets/sheet1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autoTitleDeleted val="1"/>
    <c:plotArea>
      <c:layout>
        <c:manualLayout>
          <c:layoutTarget val="inner"/>
          <c:xMode val="edge"/>
          <c:yMode val="edge"/>
          <c:x val="5.3802159876024339E-2"/>
          <c:y val="0.11027723019591425"/>
          <c:w val="0.71029385497900865"/>
          <c:h val="0.83263066578453482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x"/>
            <c:size val="7"/>
            <c:spPr>
              <a:noFill/>
            </c:spPr>
          </c:marker>
          <c:dLbls>
            <c:dLbl>
              <c:idx val="0"/>
              <c:layout>
                <c:manualLayout>
                  <c:x val="2.8247971793623466E-3"/>
                  <c:y val="6.4303363352821632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E2EX1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4.0961171745310714E-2"/>
                  <c:y val="1.9291009005846425E-2"/>
                </c:manualLayout>
              </c:layout>
              <c:tx>
                <c:rich>
                  <a:bodyPr/>
                  <a:lstStyle/>
                  <a:p>
                    <a:endParaRPr lang="en-US"/>
                  </a:p>
                </c:rich>
              </c:tx>
              <c:showVal val="1"/>
            </c:dLbl>
            <c:dLbl>
              <c:idx val="2"/>
              <c:layout>
                <c:manualLayout>
                  <c:x val="-5.0848462348975727E-2"/>
                  <c:y val="-1.071722722547020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T9T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-9.8872906036651508E-3"/>
                  <c:y val="-1.07173960007020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P3SA</a:t>
                    </a:r>
                  </a:p>
                </c:rich>
              </c:tx>
              <c:showVal val="1"/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P3SI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-4.237362594342496E-3"/>
                  <c:y val="2.786479078622271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T8FCC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1.2712087783027461E-2"/>
                  <c:y val="-2.357789989603444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T4PA</a:t>
                    </a:r>
                  </a:p>
                </c:rich>
              </c:tx>
              <c:showVal val="1"/>
            </c:dLbl>
            <c:dLbl>
              <c:idx val="7"/>
              <c:layout>
                <c:manualLayout>
                  <c:x val="-1.1121686599324174E-7"/>
                  <c:y val="2.1434454450940414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P3D</a:t>
                    </a:r>
                  </a:p>
                </c:rich>
              </c:tx>
              <c:showVal val="1"/>
            </c:dLbl>
            <c:dLbl>
              <c:idx val="8"/>
              <c:layout>
                <c:manualLayout>
                  <c:x val="0"/>
                  <c:y val="1.28606726705642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O4TE</a:t>
                    </a:r>
                  </a:p>
                </c:rich>
              </c:tx>
              <c:showVal val="1"/>
            </c:dLbl>
            <c:dLbl>
              <c:idx val="9"/>
              <c:layout>
                <c:manualLayout>
                  <c:x val="0"/>
                  <c:y val="2.1434454450940414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T1TP</a:t>
                    </a:r>
                  </a:p>
                </c:rich>
              </c:tx>
              <c:showVal val="1"/>
            </c:dLbl>
            <c:dLbl>
              <c:idx val="10"/>
              <c:layout>
                <c:manualLayout>
                  <c:x val="-2.5424175566055019E-2"/>
                  <c:y val="2.143445445094040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T2SA</a:t>
                    </a:r>
                  </a:p>
                </c:rich>
              </c:tx>
              <c:showVal val="1"/>
            </c:dLbl>
            <c:dLbl>
              <c:idx val="11"/>
              <c:layout>
                <c:manualLayout>
                  <c:x val="-4.2373625943424456E-3"/>
                  <c:y val="8.5737817803761655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R1C</a:t>
                    </a:r>
                  </a:p>
                </c:rich>
              </c:tx>
              <c:showVal val="1"/>
            </c:dLbl>
            <c:dLbl>
              <c:idx val="12"/>
              <c:layout>
                <c:manualLayout>
                  <c:x val="4.2373625943425168E-3"/>
                  <c:y val="1.714756356075233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M5SA</a:t>
                    </a:r>
                  </a:p>
                </c:rich>
              </c:tx>
              <c:showVal val="1"/>
            </c:dLbl>
            <c:dLbl>
              <c:idx val="13"/>
              <c:layout>
                <c:manualLayout>
                  <c:x val="-1.836190457548411E-2"/>
                  <c:y val="-2.786479078622257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P3C</a:t>
                    </a:r>
                  </a:p>
                </c:rich>
              </c:tx>
              <c:showVal val="1"/>
            </c:dLbl>
            <c:dLbl>
              <c:idx val="14"/>
              <c:layout>
                <c:manualLayout>
                  <c:x val="-3.8136263349082385E-2"/>
                  <c:y val="2.143445445094040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P3CC</a:t>
                    </a:r>
                  </a:p>
                </c:rich>
              </c:tx>
              <c:showVal val="1"/>
            </c:dLbl>
            <c:dLbl>
              <c:idx val="15"/>
              <c:layout>
                <c:manualLayout>
                  <c:x val="0"/>
                  <c:y val="1.500411811565836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T1SA</a:t>
                    </a:r>
                  </a:p>
                </c:rich>
              </c:tx>
              <c:showVal val="1"/>
            </c:dLbl>
            <c:dLbl>
              <c:idx val="16"/>
              <c:layout>
                <c:manualLayout>
                  <c:x val="-8.4747251886849746E-3"/>
                  <c:y val="-1.28606726705642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R1C</a:t>
                    </a:r>
                  </a:p>
                </c:rich>
              </c:tx>
              <c:showVal val="1"/>
            </c:dLbl>
            <c:dLbl>
              <c:idx val="17"/>
              <c:layout>
                <c:manualLayout>
                  <c:x val="-4.0961171745310714E-2"/>
                  <c:y val="-2.357789989603441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P4TE</a:t>
                    </a:r>
                  </a:p>
                </c:rich>
              </c:tx>
              <c:showVal val="1"/>
            </c:dLbl>
            <c:dLbl>
              <c:idx val="18"/>
              <c:layout>
                <c:manualLayout>
                  <c:x val="-2.5424175566055612E-2"/>
                  <c:y val="4.501235434697488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E3TE</a:t>
                    </a:r>
                  </a:p>
                </c:rich>
              </c:tx>
              <c:showVal val="1"/>
            </c:dLbl>
            <c:dLbl>
              <c:idx val="19"/>
              <c:layout>
                <c:manualLayout>
                  <c:x val="-5.3673259528338173E-2"/>
                  <c:y val="-6.4303363352825041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T7CC</a:t>
                    </a:r>
                  </a:p>
                </c:rich>
              </c:tx>
              <c:showVal val="1"/>
            </c:dLbl>
            <c:dLbl>
              <c:idx val="20"/>
              <c:layout>
                <c:manualLayout>
                  <c:x val="-1.1299633584913298E-2"/>
                  <c:y val="3.0008236231316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R1T</a:t>
                    </a:r>
                  </a:p>
                </c:rich>
              </c:tx>
              <c:showVal val="1"/>
            </c:dLbl>
            <c:dLbl>
              <c:idx val="21"/>
              <c:layout>
                <c:manualLayout>
                  <c:x val="-2.6836629764169111E-2"/>
                  <c:y val="3.0008236231316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T7TP</a:t>
                    </a:r>
                  </a:p>
                </c:rich>
              </c:tx>
              <c:showVal val="1"/>
            </c:dLbl>
            <c:dLbl>
              <c:idx val="22"/>
              <c:layout>
                <c:manualLayout>
                  <c:x val="0"/>
                  <c:y val="1.500411811565833E-2"/>
                </c:manualLayout>
              </c:layout>
              <c:tx>
                <c:rich>
                  <a:bodyPr/>
                  <a:lstStyle/>
                  <a:p>
                    <a:endParaRPr lang="en-US"/>
                  </a:p>
                </c:rich>
              </c:tx>
              <c:showVal val="1"/>
            </c:dLbl>
            <c:dLbl>
              <c:idx val="23"/>
              <c:layout>
                <c:manualLayout>
                  <c:x val="-2.8249083962283246E-3"/>
                  <c:y val="1.0717227225470208E-2"/>
                </c:manualLayout>
              </c:layout>
              <c:tx>
                <c:rich>
                  <a:bodyPr/>
                  <a:lstStyle/>
                  <a:p>
                    <a:endParaRPr lang="en-US"/>
                  </a:p>
                </c:rich>
              </c:tx>
              <c:showVal val="1"/>
            </c:dLbl>
            <c:dLbl>
              <c:idx val="24"/>
              <c:layout>
                <c:manualLayout>
                  <c:x val="0"/>
                  <c:y val="1.9291009005846387E-2"/>
                </c:manualLayout>
              </c:layout>
              <c:tx>
                <c:rich>
                  <a:bodyPr/>
                  <a:lstStyle/>
                  <a:p>
                    <a:endParaRPr lang="en-US"/>
                  </a:p>
                </c:rich>
              </c:tx>
              <c:showVal val="1"/>
            </c:dLbl>
            <c:dLbl>
              <c:idx val="2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Val val="1"/>
            </c:dLbl>
            <c:dLbl>
              <c:idx val="26"/>
              <c:layout>
                <c:manualLayout>
                  <c:x val="-3.672380915096822E-2"/>
                  <c:y val="-2.7864790786222622E-2"/>
                </c:manualLayout>
              </c:layout>
              <c:tx>
                <c:rich>
                  <a:bodyPr/>
                  <a:lstStyle/>
                  <a:p>
                    <a:endParaRPr lang="en-US"/>
                  </a:p>
                </c:rich>
              </c:tx>
              <c:showVal val="1"/>
            </c:dLbl>
            <c:dLbl>
              <c:idx val="27"/>
              <c:layout>
                <c:manualLayout>
                  <c:x val="4.2373625943429461E-3"/>
                  <c:y val="-2.1434454450940409E-2"/>
                </c:manualLayout>
              </c:layout>
              <c:tx>
                <c:rich>
                  <a:bodyPr/>
                  <a:lstStyle/>
                  <a:p>
                    <a:endParaRPr lang="en-US"/>
                  </a:p>
                </c:rich>
              </c:tx>
              <c:showVal val="1"/>
            </c:dLbl>
            <c:dLbl>
              <c:idx val="2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Val val="1"/>
            </c:dLbl>
            <c:dLbl>
              <c:idx val="2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Val val="1"/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Val val="1"/>
            </c:dLbl>
            <c:dLbl>
              <c:idx val="31"/>
              <c:layout>
                <c:manualLayout>
                  <c:x val="-5.6498167924566864E-3"/>
                  <c:y val="4.2868908901880831E-2"/>
                </c:manualLayout>
              </c:layout>
              <c:tx>
                <c:rich>
                  <a:bodyPr/>
                  <a:lstStyle/>
                  <a:p>
                    <a:endParaRPr lang="en-US"/>
                  </a:p>
                </c:rich>
              </c:tx>
              <c:showVal val="1"/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Val val="1"/>
            </c:dLbl>
            <c:dLbl>
              <c:idx val="33"/>
              <c:layout>
                <c:manualLayout>
                  <c:x val="-8.4747251886849746E-3"/>
                  <c:y val="-2.5721345341128552E-2"/>
                </c:manualLayout>
              </c:layout>
              <c:tx>
                <c:rich>
                  <a:bodyPr/>
                  <a:lstStyle/>
                  <a:p>
                    <a:endParaRPr lang="en-US"/>
                  </a:p>
                </c:rich>
              </c:tx>
              <c:showVal val="1"/>
            </c:dLbl>
            <c:dLbl>
              <c:idx val="3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Val val="1"/>
            </c:dLbl>
            <c:dLbl>
              <c:idx val="3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Val val="1"/>
            </c:dLbl>
            <c:dLbl>
              <c:idx val="3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Val val="1"/>
            </c:dLbl>
            <c:dLbl>
              <c:idx val="3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Val val="1"/>
            </c:dLbl>
            <c:dLbl>
              <c:idx val="3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Val val="1"/>
            </c:dLbl>
            <c:dLbl>
              <c:idx val="3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Val val="1"/>
            </c:dLbl>
            <c:dLbl>
              <c:idx val="4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Val val="1"/>
            </c:dLbl>
            <c:dLbl>
              <c:idx val="4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Val val="1"/>
            </c:dLbl>
            <c:dLbl>
              <c:idx val="4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Val val="1"/>
            </c:dLbl>
            <c:dLbl>
              <c:idx val="4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Val val="1"/>
            </c:dLbl>
            <c:dLbl>
              <c:idx val="4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Val val="1"/>
            </c:dLbl>
            <c:dLbl>
              <c:idx val="4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Val val="1"/>
            </c:dLbl>
            <c:dLbl>
              <c:idx val="4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Val val="1"/>
            </c:dLbl>
            <c:dLbl>
              <c:idx val="4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Val val="1"/>
            </c:dLbl>
            <c:dLbl>
              <c:idx val="4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Val val="1"/>
            </c:dLbl>
            <c:dLbl>
              <c:idx val="4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Val val="1"/>
            </c:dLbl>
            <c:dLbl>
              <c:idx val="5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Val val="1"/>
            </c:dLbl>
            <c:dLbl>
              <c:idx val="5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Val val="1"/>
            </c:dLbl>
            <c:dLbl>
              <c:idx val="5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Val val="1"/>
            </c:dLbl>
            <c:delete val="1"/>
          </c:dLbls>
          <c:xVal>
            <c:numRef>
              <c:f>'Gestion des risques'!$D$2:$D$1000</c:f>
              <c:numCache>
                <c:formatCode>General</c:formatCode>
                <c:ptCount val="999"/>
                <c:pt idx="0">
                  <c:v>6</c:v>
                </c:pt>
              </c:numCache>
            </c:numRef>
          </c:xVal>
          <c:yVal>
            <c:numRef>
              <c:f>'Gestion des risques'!$C$2:$C$1000</c:f>
              <c:numCache>
                <c:formatCode>General</c:formatCode>
                <c:ptCount val="999"/>
                <c:pt idx="0">
                  <c:v>5</c:v>
                </c:pt>
              </c:numCache>
            </c:numRef>
          </c:yVal>
        </c:ser>
        <c:axId val="116909184"/>
        <c:axId val="122569088"/>
      </c:scatterChart>
      <c:valAx>
        <c:axId val="116909184"/>
        <c:scaling>
          <c:orientation val="minMax"/>
          <c:max val="10"/>
        </c:scaling>
        <c:axPos val="b"/>
        <c:majorGridlines>
          <c:spPr>
            <a:ln w="6350">
              <a:solidFill>
                <a:sysClr val="windowText" lastClr="000000">
                  <a:alpha val="10000"/>
                </a:sysClr>
              </a:solidFill>
            </a:ln>
          </c:spPr>
        </c:majorGridlines>
        <c:numFmt formatCode="General" sourceLinked="1"/>
        <c:tickLblPos val="nextTo"/>
        <c:crossAx val="122569088"/>
        <c:crosses val="autoZero"/>
        <c:crossBetween val="midCat"/>
        <c:majorUnit val="2"/>
      </c:valAx>
      <c:valAx>
        <c:axId val="122569088"/>
        <c:scaling>
          <c:orientation val="minMax"/>
          <c:max val="10"/>
        </c:scaling>
        <c:axPos val="l"/>
        <c:majorGridlines>
          <c:spPr>
            <a:ln w="6350">
              <a:solidFill>
                <a:sysClr val="windowText" lastClr="000000">
                  <a:alpha val="10000"/>
                </a:sysClr>
              </a:solidFill>
            </a:ln>
          </c:spPr>
        </c:majorGridlines>
        <c:numFmt formatCode="General" sourceLinked="1"/>
        <c:tickLblPos val="nextTo"/>
        <c:spPr>
          <a:ln w="6350">
            <a:solidFill>
              <a:schemeClr val="bg1">
                <a:lumMod val="65000"/>
              </a:schemeClr>
            </a:solidFill>
          </a:ln>
        </c:spPr>
        <c:crossAx val="116909184"/>
        <c:crosses val="autoZero"/>
        <c:crossBetween val="midCat"/>
        <c:majorUnit val="2"/>
      </c:valAx>
      <c:spPr>
        <a:gradFill flip="none" rotWithShape="1">
          <a:gsLst>
            <a:gs pos="0">
              <a:srgbClr val="D81A1A">
                <a:alpha val="55000"/>
              </a:srgbClr>
            </a:gs>
            <a:gs pos="30000">
              <a:srgbClr val="FFC000">
                <a:alpha val="55000"/>
              </a:srgbClr>
            </a:gs>
            <a:gs pos="70000">
              <a:srgbClr val="92D050">
                <a:alpha val="55000"/>
              </a:srgbClr>
            </a:gs>
            <a:gs pos="100000">
              <a:srgbClr val="1F497D">
                <a:lumMod val="40000"/>
                <a:lumOff val="60000"/>
                <a:alpha val="55000"/>
              </a:srgbClr>
            </a:gs>
          </a:gsLst>
          <a:path path="circle">
            <a:fillToRect l="100000" b="100000"/>
          </a:path>
          <a:tileRect t="-100000" r="-100000"/>
        </a:gradFill>
      </c:spPr>
    </c:plotArea>
    <c:plotVisOnly val="1"/>
  </c:chart>
  <c:spPr>
    <a:ln>
      <a:noFill/>
    </a:ln>
  </c:sp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style val="5"/>
  <c:chart>
    <c:plotArea>
      <c:layout/>
      <c:radarChart>
        <c:radarStyle val="filled"/>
        <c:ser>
          <c:idx val="0"/>
          <c:order val="0"/>
          <c:spPr>
            <a:solidFill>
              <a:srgbClr val="008000">
                <a:alpha val="45098"/>
              </a:srgbClr>
            </a:solidFill>
            <a:ln>
              <a:solidFill>
                <a:srgbClr val="92D050"/>
              </a:solidFill>
            </a:ln>
          </c:spPr>
          <c:cat>
            <c:strRef>
              <c:f>Code!$C$1:$C$6</c:f>
              <c:strCache>
                <c:ptCount val="6"/>
                <c:pt idx="0">
                  <c:v>Externe</c:v>
                </c:pt>
                <c:pt idx="1">
                  <c:v>Méthodologie</c:v>
                </c:pt>
                <c:pt idx="2">
                  <c:v>Objectifs</c:v>
                </c:pt>
                <c:pt idx="3">
                  <c:v>Planning</c:v>
                </c:pt>
                <c:pt idx="4">
                  <c:v>Ressources</c:v>
                </c:pt>
                <c:pt idx="5">
                  <c:v>Technique</c:v>
                </c:pt>
              </c:strCache>
            </c:strRef>
          </c:cat>
          <c:val>
            <c:numRef>
              <c:f>Code!$D$1:$D$6</c:f>
              <c:numCache>
                <c:formatCode>General</c:formatCode>
                <c:ptCount val="6"/>
                <c:pt idx="0">
                  <c:v>30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</c:ser>
        <c:axId val="124772352"/>
        <c:axId val="124773888"/>
      </c:radarChart>
      <c:catAx>
        <c:axId val="124772352"/>
        <c:scaling>
          <c:orientation val="minMax"/>
        </c:scaling>
        <c:axPos val="b"/>
        <c:majorGridlines/>
        <c:tickLblPos val="nextTo"/>
        <c:crossAx val="124773888"/>
        <c:crosses val="autoZero"/>
        <c:auto val="1"/>
        <c:lblAlgn val="ctr"/>
        <c:lblOffset val="100"/>
      </c:catAx>
      <c:valAx>
        <c:axId val="124773888"/>
        <c:scaling>
          <c:orientation val="minMax"/>
        </c:scaling>
        <c:axPos val="l"/>
        <c:majorGridlines/>
        <c:numFmt formatCode="General" sourceLinked="1"/>
        <c:majorTickMark val="none"/>
        <c:tickLblPos val="none"/>
        <c:crossAx val="124772352"/>
        <c:crosses val="autoZero"/>
        <c:crossBetween val="between"/>
      </c:valAx>
    </c:plotArea>
    <c:plotVisOnly val="1"/>
  </c:chart>
  <c:spPr>
    <a:ln>
      <a:noFill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plotArea>
      <c:layout>
        <c:manualLayout>
          <c:layoutTarget val="inner"/>
          <c:xMode val="edge"/>
          <c:yMode val="edge"/>
          <c:x val="4.1965771230722981E-2"/>
          <c:y val="2.8788612662863651E-2"/>
          <c:w val="0.91006953005775926"/>
          <c:h val="0.86968793270920064"/>
        </c:manualLayout>
      </c:layout>
      <c:scatterChart>
        <c:scatterStyle val="smoothMarker"/>
        <c:ser>
          <c:idx val="0"/>
          <c:order val="0"/>
          <c:tx>
            <c:strRef>
              <c:f>'Suivi impact'!$A$31</c:f>
              <c:strCache>
                <c:ptCount val="1"/>
                <c:pt idx="0">
                  <c:v>C</c:v>
                </c:pt>
              </c:strCache>
            </c:strRef>
          </c:tx>
          <c:marker>
            <c:symbol val="none"/>
          </c:marker>
          <c:xVal>
            <c:numRef>
              <c:f>'Suivi impact'!$B$30:$DE$30</c:f>
              <c:numCache>
                <c:formatCode>dd/mm;@</c:formatCode>
                <c:ptCount val="108"/>
                <c:pt idx="0">
                  <c:v>42356</c:v>
                </c:pt>
              </c:numCache>
            </c:numRef>
          </c:xVal>
          <c:yVal>
            <c:numRef>
              <c:f>'Suivi impact'!$B$31:$DE$31</c:f>
              <c:numCache>
                <c:formatCode>General</c:formatCode>
                <c:ptCount val="108"/>
                <c:pt idx="0">
                  <c:v>30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'Suivi impact'!$A$32</c:f>
              <c:strCache>
                <c:ptCount val="1"/>
                <c:pt idx="0">
                  <c:v>D</c:v>
                </c:pt>
              </c:strCache>
            </c:strRef>
          </c:tx>
          <c:marker>
            <c:symbol val="none"/>
          </c:marker>
          <c:xVal>
            <c:numRef>
              <c:f>'Suivi impact'!$B$30:$DE$30</c:f>
              <c:numCache>
                <c:formatCode>dd/mm;@</c:formatCode>
                <c:ptCount val="108"/>
                <c:pt idx="0">
                  <c:v>42356</c:v>
                </c:pt>
              </c:numCache>
            </c:numRef>
          </c:xVal>
          <c:yVal>
            <c:numRef>
              <c:f>'Suivi impact'!$B$32:$DE$32</c:f>
              <c:numCache>
                <c:formatCode>General</c:formatCode>
                <c:ptCount val="108"/>
                <c:pt idx="0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'Suivi impact'!$A$33</c:f>
              <c:strCache>
                <c:ptCount val="1"/>
                <c:pt idx="0">
                  <c:v>P</c:v>
                </c:pt>
              </c:strCache>
            </c:strRef>
          </c:tx>
          <c:marker>
            <c:symbol val="none"/>
          </c:marker>
          <c:xVal>
            <c:numRef>
              <c:f>'Suivi impact'!$B$30:$DE$30</c:f>
              <c:numCache>
                <c:formatCode>dd/mm;@</c:formatCode>
                <c:ptCount val="108"/>
                <c:pt idx="0">
                  <c:v>42356</c:v>
                </c:pt>
              </c:numCache>
            </c:numRef>
          </c:xVal>
          <c:yVal>
            <c:numRef>
              <c:f>'Suivi impact'!$B$33:$DE$33</c:f>
              <c:numCache>
                <c:formatCode>General</c:formatCode>
                <c:ptCount val="108"/>
                <c:pt idx="0">
                  <c:v>0</c:v>
                </c:pt>
              </c:numCache>
            </c:numRef>
          </c:yVal>
          <c:smooth val="1"/>
        </c:ser>
        <c:axId val="124786944"/>
        <c:axId val="124788736"/>
      </c:scatterChart>
      <c:valAx>
        <c:axId val="124786944"/>
        <c:scaling>
          <c:orientation val="minMax"/>
          <c:min val="42097"/>
        </c:scaling>
        <c:axPos val="b"/>
        <c:numFmt formatCode="[$-40C]d\-mmm\-yy;@" sourceLinked="0"/>
        <c:tickLblPos val="nextTo"/>
        <c:crossAx val="124788736"/>
        <c:crosses val="autoZero"/>
        <c:crossBetween val="midCat"/>
        <c:majorUnit val="15"/>
      </c:valAx>
      <c:valAx>
        <c:axId val="124788736"/>
        <c:scaling>
          <c:orientation val="minMax"/>
        </c:scaling>
        <c:axPos val="l"/>
        <c:numFmt formatCode="General" sourceLinked="1"/>
        <c:tickLblPos val="nextTo"/>
        <c:crossAx val="12478694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autoTitleDeleted val="1"/>
    <c:plotArea>
      <c:layout>
        <c:manualLayout>
          <c:layoutTarget val="inner"/>
          <c:xMode val="edge"/>
          <c:yMode val="edge"/>
          <c:x val="7.7874913349349123E-2"/>
          <c:y val="0.11382397944726752"/>
          <c:w val="0.82633678225044649"/>
          <c:h val="0.76934556461163561"/>
        </c:manualLayout>
      </c:layout>
      <c:scatterChart>
        <c:scatterStyle val="lineMarker"/>
        <c:ser>
          <c:idx val="0"/>
          <c:order val="0"/>
          <c:tx>
            <c:v>18/12/2015</c:v>
          </c:tx>
          <c:marker>
            <c:symbol val="diamond"/>
            <c:size val="5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fr-FR"/>
                      <a:t>18/12</a:t>
                    </a:r>
                  </a:p>
                </c:rich>
              </c:tx>
              <c:showVal val="1"/>
            </c:dLbl>
            <c:delete val="1"/>
          </c:dLbls>
          <c:xVal>
            <c:numLit>
              <c:formatCode>General</c:formatCode>
              <c:ptCount val="1"/>
              <c:pt idx="0">
                <c:v>6</c:v>
              </c:pt>
            </c:numLit>
          </c:xVal>
          <c:yVal>
            <c:numLit>
              <c:formatCode>General</c:formatCode>
              <c:ptCount val="1"/>
              <c:pt idx="0">
                <c:v>5</c:v>
              </c:pt>
            </c:numLit>
          </c:yVal>
        </c:ser>
        <c:axId val="125034496"/>
        <c:axId val="125036032"/>
      </c:scatterChart>
      <c:valAx>
        <c:axId val="125034496"/>
        <c:scaling>
          <c:orientation val="minMax"/>
          <c:max val="10"/>
        </c:scaling>
        <c:axPos val="b"/>
        <c:majorGridlines>
          <c:spPr>
            <a:ln w="6350">
              <a:solidFill>
                <a:sysClr val="windowText" lastClr="000000">
                  <a:alpha val="10000"/>
                </a:sysClr>
              </a:solidFill>
            </a:ln>
          </c:spPr>
        </c:majorGridlines>
        <c:numFmt formatCode="General" sourceLinked="1"/>
        <c:tickLblPos val="nextTo"/>
        <c:crossAx val="125036032"/>
        <c:crosses val="autoZero"/>
        <c:crossBetween val="midCat"/>
        <c:majorUnit val="2"/>
      </c:valAx>
      <c:valAx>
        <c:axId val="125036032"/>
        <c:scaling>
          <c:orientation val="minMax"/>
          <c:max val="10"/>
        </c:scaling>
        <c:axPos val="l"/>
        <c:majorGridlines>
          <c:spPr>
            <a:ln w="6350">
              <a:solidFill>
                <a:sysClr val="windowText" lastClr="000000">
                  <a:alpha val="10000"/>
                </a:sysClr>
              </a:solidFill>
            </a:ln>
          </c:spPr>
        </c:majorGridlines>
        <c:numFmt formatCode="General" sourceLinked="1"/>
        <c:tickLblPos val="nextTo"/>
        <c:spPr>
          <a:ln w="6350">
            <a:solidFill>
              <a:schemeClr val="bg1">
                <a:lumMod val="65000"/>
              </a:schemeClr>
            </a:solidFill>
          </a:ln>
        </c:spPr>
        <c:crossAx val="125034496"/>
        <c:crosses val="autoZero"/>
        <c:crossBetween val="midCat"/>
        <c:majorUnit val="2"/>
      </c:valAx>
      <c:spPr>
        <a:gradFill flip="none" rotWithShape="1">
          <a:gsLst>
            <a:gs pos="0">
              <a:srgbClr val="D81A1A">
                <a:alpha val="55000"/>
              </a:srgbClr>
            </a:gs>
            <a:gs pos="30000">
              <a:srgbClr val="FFC000">
                <a:alpha val="55000"/>
              </a:srgbClr>
            </a:gs>
            <a:gs pos="70000">
              <a:srgbClr val="92D050">
                <a:alpha val="55000"/>
              </a:srgbClr>
            </a:gs>
            <a:gs pos="100000">
              <a:srgbClr val="1F497D">
                <a:lumMod val="40000"/>
                <a:lumOff val="60000"/>
                <a:alpha val="55000"/>
              </a:srgbClr>
            </a:gs>
          </a:gsLst>
          <a:path path="circle">
            <a:fillToRect l="100000" b="100000"/>
          </a:path>
          <a:tileRect t="-100000" r="-100000"/>
        </a:gradFill>
      </c:spPr>
    </c:plotArea>
    <c:plotVisOnly val="1"/>
  </c:chart>
  <c:spPr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ph3">
    <tabColor rgb="FF008000"/>
  </sheetPr>
  <sheetViews>
    <sheetView zoomScale="86" workbookViewId="0"/>
  </sheetViews>
  <pageMargins left="0.70866141732283472" right="0.70866141732283472" top="0.74803149606299213" bottom="0.74803149606299213" header="0.31496062992125984" footer="0.31496062992125984"/>
  <pageSetup paperSize="9" orientation="landscape" horizontalDpi="1200" verticalDpi="1200" r:id="rId1"/>
  <headerFooter>
    <oddHeader>&amp;A</oddHeader>
    <oddFooter>&amp;L&amp;BEDF Confidentiel&amp;B&amp;C&amp;D&amp;RPage &amp;P</oddFooter>
  </headerFooter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aph6">
    <tabColor rgb="FF008000"/>
  </sheetPr>
  <sheetViews>
    <sheetView zoomScale="86" workbookViewId="0"/>
  </sheetViews>
  <pageMargins left="0.7" right="0.7" top="0.75" bottom="0.75" header="0.3" footer="0.3"/>
  <pageSetup paperSize="9" orientation="landscape" horizontalDpi="150" verticalDpi="150" r:id="rId1"/>
  <drawing r:id="rId2"/>
  <legacyDrawing r:id="rId3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165761" y="82311"/>
    <xdr:ext cx="8991442" cy="5925040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0.77279</cdr:x>
      <cdr:y>0.92902</cdr:y>
    </cdr:from>
    <cdr:to>
      <cdr:x>0.8193</cdr:x>
      <cdr:y>0.9801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6948529" y="5504481"/>
          <a:ext cx="418192" cy="3026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400" i="1"/>
            <a:t>P</a:t>
          </a:r>
        </a:p>
      </cdr:txBody>
    </cdr:sp>
  </cdr:relSizeAnchor>
  <cdr:relSizeAnchor xmlns:cdr="http://schemas.openxmlformats.org/drawingml/2006/chartDrawing">
    <cdr:from>
      <cdr:x>0.01347</cdr:x>
      <cdr:y>0.04113</cdr:y>
    </cdr:from>
    <cdr:to>
      <cdr:x>0.05998</cdr:x>
      <cdr:y>0.09221</cdr:y>
    </cdr:to>
    <cdr:sp macro="" textlink="">
      <cdr:nvSpPr>
        <cdr:cNvPr id="3" name="ZoneTexte 1"/>
        <cdr:cNvSpPr txBox="1"/>
      </cdr:nvSpPr>
      <cdr:spPr>
        <a:xfrm xmlns:a="http://schemas.openxmlformats.org/drawingml/2006/main">
          <a:off x="121154" y="243707"/>
          <a:ext cx="418192" cy="3026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1400" i="1"/>
            <a:t>G</a:t>
          </a:r>
        </a:p>
      </cdr:txBody>
    </cdr:sp>
  </cdr:relSizeAnchor>
  <cdr:relSizeAnchor xmlns:cdr="http://schemas.openxmlformats.org/drawingml/2006/chartDrawing">
    <cdr:from>
      <cdr:x>0.79128</cdr:x>
      <cdr:y>0.0259</cdr:y>
    </cdr:from>
    <cdr:to>
      <cdr:x>1</cdr:x>
      <cdr:y>0.0832</cdr:y>
    </cdr:to>
    <cdr:sp macro="" textlink="">
      <cdr:nvSpPr>
        <cdr:cNvPr id="10" name="ZoneTexte 9"/>
        <cdr:cNvSpPr txBox="1"/>
      </cdr:nvSpPr>
      <cdr:spPr>
        <a:xfrm xmlns:a="http://schemas.openxmlformats.org/drawingml/2006/main">
          <a:off x="7191465" y="153459"/>
          <a:ext cx="1876694" cy="3395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400" u="sng">
              <a:latin typeface="+mn-lt"/>
            </a:rPr>
            <a:t>MATRICE DES RISQUES</a:t>
          </a:r>
        </a:p>
      </cdr:txBody>
    </cdr:sp>
  </cdr:relSizeAnchor>
  <cdr:relSizeAnchor xmlns:cdr="http://schemas.openxmlformats.org/drawingml/2006/chartDrawing">
    <cdr:from>
      <cdr:x>0.78773</cdr:x>
      <cdr:y>0.47629</cdr:y>
    </cdr:from>
    <cdr:to>
      <cdr:x>0.9979</cdr:x>
      <cdr:y>0.51865</cdr:y>
    </cdr:to>
    <cdr:sp macro="" textlink="">
      <cdr:nvSpPr>
        <cdr:cNvPr id="7" name="ZoneTexte 6"/>
        <cdr:cNvSpPr txBox="1"/>
      </cdr:nvSpPr>
      <cdr:spPr>
        <a:xfrm xmlns:a="http://schemas.openxmlformats.org/drawingml/2006/main">
          <a:off x="7082818" y="2822028"/>
          <a:ext cx="1889731" cy="2509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fr-FR" sz="1000"/>
            <a:t>[</a:t>
          </a:r>
          <a:r>
            <a:rPr lang="fr-FR" sz="1000">
              <a:solidFill>
                <a:srgbClr val="00B0F0"/>
              </a:solidFill>
            </a:rPr>
            <a:t>TYPE</a:t>
          </a:r>
          <a:r>
            <a:rPr lang="fr-FR" sz="1000"/>
            <a:t>][NUMERO][</a:t>
          </a:r>
          <a:r>
            <a:rPr lang="fr-FR" sz="1000">
              <a:solidFill>
                <a:srgbClr val="C00000"/>
              </a:solidFill>
            </a:rPr>
            <a:t>ELEMENT</a:t>
          </a:r>
          <a:r>
            <a:rPr lang="fr-FR" sz="1000"/>
            <a:t>]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852818" y="343343"/>
    <xdr:ext cx="7875042" cy="515014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114299</xdr:colOff>
      <xdr:row>0</xdr:row>
      <xdr:rowOff>114300</xdr:rowOff>
    </xdr:from>
    <xdr:to>
      <xdr:col>15</xdr:col>
      <xdr:colOff>642384</xdr:colOff>
      <xdr:row>28</xdr:row>
      <xdr:rowOff>28575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7800975" y="466725"/>
    <xdr:ext cx="3428999" cy="2752724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0.90042</cdr:x>
      <cdr:y>0.8663</cdr:y>
    </cdr:from>
    <cdr:to>
      <cdr:x>1</cdr:x>
      <cdr:y>1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3136955" y="2402065"/>
          <a:ext cx="341471" cy="3680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400" i="1"/>
            <a:t>P</a:t>
          </a:r>
        </a:p>
      </cdr:txBody>
    </cdr:sp>
  </cdr:relSizeAnchor>
  <cdr:relSizeAnchor xmlns:cdr="http://schemas.openxmlformats.org/drawingml/2006/chartDrawing">
    <cdr:from>
      <cdr:x>0.00687</cdr:x>
      <cdr:y>0.00253</cdr:y>
    </cdr:from>
    <cdr:to>
      <cdr:x>0.08904</cdr:x>
      <cdr:y>0.12037</cdr:y>
    </cdr:to>
    <cdr:sp macro="" textlink="">
      <cdr:nvSpPr>
        <cdr:cNvPr id="3" name="ZoneTexte 1"/>
        <cdr:cNvSpPr txBox="1"/>
      </cdr:nvSpPr>
      <cdr:spPr>
        <a:xfrm xmlns:a="http://schemas.openxmlformats.org/drawingml/2006/main">
          <a:off x="23545" y="6960"/>
          <a:ext cx="281769" cy="324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1400" i="1"/>
            <a:t>G</a:t>
          </a:r>
        </a:p>
      </cdr:txBody>
    </cdr: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3">
    <tabColor rgb="FFC00000"/>
  </sheetPr>
  <dimension ref="A1:D8"/>
  <sheetViews>
    <sheetView showGridLines="0" tabSelected="1" zoomScale="86" zoomScaleNormal="86" workbookViewId="0"/>
  </sheetViews>
  <sheetFormatPr baseColWidth="10" defaultRowHeight="15"/>
  <cols>
    <col min="1" max="1" width="15.140625" customWidth="1"/>
    <col min="2" max="2" width="13.28515625" customWidth="1"/>
  </cols>
  <sheetData>
    <row r="1" spans="1:4">
      <c r="A1" s="31"/>
    </row>
    <row r="2" spans="1:4">
      <c r="A2" s="31"/>
      <c r="B2" s="15"/>
      <c r="C2" s="15"/>
    </row>
    <row r="3" spans="1:4">
      <c r="A3" s="32"/>
      <c r="B3" s="15"/>
      <c r="C3" s="15"/>
    </row>
    <row r="4" spans="1:4">
      <c r="B4" s="15"/>
      <c r="C4" s="15"/>
    </row>
    <row r="5" spans="1:4">
      <c r="A5" s="15"/>
      <c r="B5" s="15"/>
      <c r="C5" s="15"/>
    </row>
    <row r="6" spans="1:4">
      <c r="B6" s="15"/>
      <c r="C6" s="15"/>
      <c r="D6" s="15"/>
    </row>
    <row r="7" spans="1:4">
      <c r="A7" s="16"/>
      <c r="B7" s="15"/>
      <c r="C7" s="15"/>
      <c r="D7" s="15"/>
    </row>
    <row r="8" spans="1:4">
      <c r="A8" s="15"/>
      <c r="B8" s="15"/>
      <c r="C8" s="15"/>
      <c r="D8" s="1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>
    <tabColor rgb="FF0070C0"/>
  </sheetPr>
  <dimension ref="A1:AE84"/>
  <sheetViews>
    <sheetView zoomScale="85" zoomScaleNormal="85" workbookViewId="0">
      <pane ySplit="1" topLeftCell="A2" activePane="bottomLeft" state="frozen"/>
      <selection pane="bottomLeft" activeCell="C19" sqref="C19"/>
    </sheetView>
  </sheetViews>
  <sheetFormatPr baseColWidth="10" defaultRowHeight="15"/>
  <cols>
    <col min="1" max="1" width="11.42578125" style="2"/>
    <col min="2" max="2" width="35.28515625" style="2" customWidth="1"/>
    <col min="3" max="4" width="6" style="2" customWidth="1"/>
    <col min="5" max="5" width="6.85546875" style="2" customWidth="1"/>
    <col min="6" max="6" width="13.85546875" style="2" customWidth="1"/>
    <col min="7" max="7" width="11.42578125" style="2"/>
    <col min="8" max="8" width="6.85546875" style="2" customWidth="1"/>
    <col min="9" max="9" width="20.140625" style="2" customWidth="1"/>
    <col min="10" max="10" width="19.140625" style="2" customWidth="1"/>
    <col min="11" max="11" width="15.28515625" style="2" customWidth="1"/>
    <col min="12" max="12" width="12.28515625" style="2" customWidth="1"/>
    <col min="13" max="14" width="5" style="2" customWidth="1"/>
    <col min="15" max="15" width="20.42578125" style="2" customWidth="1"/>
    <col min="16" max="16" width="12.28515625" style="66" customWidth="1"/>
    <col min="17" max="18" width="5" style="2" customWidth="1"/>
    <col min="19" max="19" width="22.42578125" style="2" customWidth="1"/>
    <col min="20" max="20" width="12.28515625" style="2" customWidth="1"/>
    <col min="21" max="22" width="5" style="2" customWidth="1"/>
    <col min="23" max="23" width="24.42578125" style="2" customWidth="1"/>
    <col min="24" max="24" width="12.28515625" style="2" customWidth="1"/>
    <col min="25" max="26" width="5" style="2" customWidth="1"/>
    <col min="27" max="27" width="11.85546875" style="2" customWidth="1"/>
    <col min="28" max="28" width="12.28515625" style="2" customWidth="1"/>
    <col min="29" max="30" width="5" style="2" customWidth="1"/>
    <col min="31" max="16384" width="11.42578125" style="2"/>
  </cols>
  <sheetData>
    <row r="1" spans="1:31" ht="30.75" thickBot="1">
      <c r="A1" s="84" t="s">
        <v>90</v>
      </c>
      <c r="B1" s="97" t="s">
        <v>3</v>
      </c>
      <c r="C1" s="87" t="s">
        <v>89</v>
      </c>
      <c r="D1" s="88" t="s">
        <v>83</v>
      </c>
      <c r="E1" s="89" t="s">
        <v>92</v>
      </c>
      <c r="F1" s="87" t="s">
        <v>93</v>
      </c>
      <c r="G1" s="88" t="s">
        <v>91</v>
      </c>
      <c r="H1" s="89" t="s">
        <v>127</v>
      </c>
      <c r="I1" s="10" t="s">
        <v>145</v>
      </c>
      <c r="J1" s="88" t="s">
        <v>146</v>
      </c>
      <c r="K1" s="14" t="s">
        <v>147</v>
      </c>
      <c r="L1" s="84" t="s">
        <v>102</v>
      </c>
      <c r="M1" s="85"/>
      <c r="N1" s="85"/>
      <c r="O1" s="86"/>
      <c r="P1" s="84" t="s">
        <v>123</v>
      </c>
      <c r="Q1" s="85"/>
      <c r="R1" s="85"/>
      <c r="S1" s="86"/>
      <c r="T1" s="84" t="s">
        <v>124</v>
      </c>
      <c r="U1" s="85"/>
      <c r="V1" s="85"/>
      <c r="W1" s="86"/>
      <c r="X1" s="84" t="s">
        <v>125</v>
      </c>
      <c r="Y1" s="85"/>
      <c r="Z1" s="85"/>
      <c r="AA1" s="86"/>
      <c r="AB1" s="87" t="s">
        <v>126</v>
      </c>
      <c r="AC1" s="88"/>
      <c r="AD1" s="88"/>
      <c r="AE1" s="89"/>
    </row>
    <row r="2" spans="1:31" ht="14.25" customHeight="1">
      <c r="A2" s="6" t="s">
        <v>159</v>
      </c>
      <c r="B2" s="6" t="s">
        <v>158</v>
      </c>
      <c r="C2" s="6">
        <v>5</v>
      </c>
      <c r="D2" s="6">
        <v>6</v>
      </c>
      <c r="E2" s="93">
        <v>30</v>
      </c>
      <c r="F2" s="6" t="s">
        <v>156</v>
      </c>
      <c r="G2" s="6" t="s">
        <v>92</v>
      </c>
      <c r="H2" s="6">
        <v>5</v>
      </c>
      <c r="I2" s="6" t="s">
        <v>156</v>
      </c>
      <c r="J2" s="6" t="s">
        <v>157</v>
      </c>
      <c r="K2" s="6" t="s">
        <v>157</v>
      </c>
      <c r="L2" s="94">
        <v>42356</v>
      </c>
      <c r="M2" s="6">
        <v>5</v>
      </c>
      <c r="N2" s="6">
        <v>6</v>
      </c>
      <c r="O2" s="6" t="s">
        <v>149</v>
      </c>
      <c r="P2" s="95"/>
      <c r="Q2" s="6"/>
      <c r="R2" s="6"/>
      <c r="S2" s="6"/>
      <c r="T2" s="95"/>
      <c r="U2" s="6"/>
      <c r="V2" s="6"/>
      <c r="W2" s="6"/>
      <c r="X2" s="95"/>
      <c r="Y2" s="6"/>
      <c r="Z2" s="6"/>
      <c r="AA2" s="6"/>
      <c r="AB2" s="6"/>
      <c r="AC2" s="6"/>
      <c r="AD2" s="6"/>
      <c r="AE2" s="6"/>
    </row>
    <row r="3" spans="1:31" ht="14.25" customHeight="1">
      <c r="A3" s="6"/>
      <c r="B3" s="6"/>
      <c r="C3" s="6"/>
      <c r="D3" s="6"/>
      <c r="E3" s="93"/>
      <c r="F3" s="6"/>
      <c r="G3" s="6"/>
      <c r="H3" s="6"/>
      <c r="I3" s="6"/>
      <c r="J3" s="6"/>
      <c r="K3" s="6"/>
      <c r="L3" s="94"/>
      <c r="M3" s="6"/>
      <c r="N3" s="6"/>
      <c r="O3" s="6"/>
      <c r="P3" s="95"/>
      <c r="Q3" s="6"/>
      <c r="R3" s="6"/>
      <c r="S3" s="6"/>
      <c r="T3" s="95"/>
      <c r="U3" s="6"/>
      <c r="V3" s="6"/>
      <c r="W3" s="6"/>
      <c r="X3" s="95"/>
      <c r="Y3" s="6"/>
      <c r="Z3" s="6"/>
      <c r="AA3" s="6"/>
      <c r="AB3" s="6"/>
      <c r="AC3" s="6"/>
      <c r="AD3" s="6"/>
      <c r="AE3" s="6"/>
    </row>
    <row r="4" spans="1:31" ht="14.25" customHeight="1">
      <c r="A4" s="6"/>
      <c r="B4" s="6"/>
      <c r="C4" s="6"/>
      <c r="D4" s="6"/>
      <c r="E4" s="93"/>
      <c r="F4" s="6"/>
      <c r="G4" s="6"/>
      <c r="H4" s="6"/>
      <c r="I4" s="6"/>
      <c r="J4" s="6"/>
      <c r="K4" s="6"/>
      <c r="L4" s="94"/>
      <c r="M4" s="6"/>
      <c r="N4" s="6"/>
      <c r="O4" s="6"/>
      <c r="P4" s="95"/>
      <c r="Q4" s="6"/>
      <c r="R4" s="6"/>
      <c r="S4" s="6"/>
      <c r="T4" s="6"/>
      <c r="U4" s="6"/>
      <c r="V4" s="6"/>
      <c r="W4" s="6"/>
      <c r="X4" s="95"/>
      <c r="Y4" s="6"/>
      <c r="Z4" s="6"/>
      <c r="AA4" s="6"/>
      <c r="AB4" s="6"/>
      <c r="AC4" s="6"/>
      <c r="AD4" s="6"/>
      <c r="AE4" s="6"/>
    </row>
    <row r="5" spans="1:31">
      <c r="A5" s="6"/>
      <c r="B5" s="6"/>
      <c r="C5" s="6"/>
      <c r="D5" s="6"/>
      <c r="E5" s="93"/>
      <c r="F5" s="6"/>
      <c r="G5" s="6"/>
      <c r="H5" s="6"/>
      <c r="I5" s="6"/>
      <c r="J5" s="6"/>
      <c r="K5" s="6"/>
      <c r="L5" s="95"/>
      <c r="M5" s="6"/>
      <c r="N5" s="6"/>
      <c r="O5" s="6"/>
      <c r="P5" s="6"/>
      <c r="Q5" s="6"/>
      <c r="R5" s="6"/>
      <c r="S5" s="6"/>
      <c r="T5" s="95"/>
      <c r="U5" s="6"/>
      <c r="V5" s="6"/>
      <c r="W5" s="6"/>
      <c r="X5" s="6"/>
      <c r="Y5" s="6"/>
      <c r="Z5" s="6"/>
      <c r="AA5" s="6"/>
      <c r="AB5" s="6"/>
      <c r="AC5" s="6"/>
      <c r="AD5" s="6"/>
      <c r="AE5" s="6"/>
    </row>
    <row r="6" spans="1:31">
      <c r="A6" s="6"/>
      <c r="B6" s="6"/>
      <c r="C6" s="6"/>
      <c r="D6" s="6"/>
      <c r="E6" s="93"/>
      <c r="F6" s="6"/>
      <c r="G6" s="6"/>
      <c r="H6" s="6"/>
      <c r="I6" s="6"/>
      <c r="J6" s="6"/>
      <c r="K6" s="6"/>
      <c r="L6" s="94"/>
      <c r="M6" s="6"/>
      <c r="N6" s="6"/>
      <c r="O6" s="6"/>
      <c r="P6" s="95"/>
      <c r="Q6" s="6"/>
      <c r="R6" s="6"/>
      <c r="S6" s="6"/>
      <c r="T6" s="6"/>
      <c r="U6" s="6"/>
      <c r="V6" s="6"/>
      <c r="W6" s="6"/>
      <c r="X6" s="95"/>
      <c r="Y6" s="6"/>
      <c r="Z6" s="6"/>
      <c r="AA6" s="6"/>
      <c r="AB6" s="6"/>
      <c r="AC6" s="6"/>
      <c r="AD6" s="6"/>
      <c r="AE6" s="6"/>
    </row>
    <row r="7" spans="1:31">
      <c r="A7" s="6"/>
      <c r="B7" s="6"/>
      <c r="C7" s="6"/>
      <c r="D7" s="6"/>
      <c r="E7" s="93"/>
      <c r="F7" s="6"/>
      <c r="G7" s="6"/>
      <c r="H7" s="96"/>
      <c r="I7" s="6"/>
      <c r="J7" s="6"/>
      <c r="K7" s="6"/>
      <c r="L7" s="95"/>
      <c r="M7" s="6"/>
      <c r="N7" s="6"/>
      <c r="O7" s="6"/>
      <c r="P7" s="6"/>
      <c r="Q7" s="6"/>
      <c r="R7" s="6"/>
      <c r="S7" s="6"/>
      <c r="T7" s="95"/>
      <c r="U7" s="6"/>
      <c r="V7" s="6"/>
      <c r="W7" s="6"/>
      <c r="X7" s="95"/>
      <c r="Y7" s="6"/>
      <c r="Z7" s="6"/>
      <c r="AA7" s="6"/>
      <c r="AB7" s="6"/>
      <c r="AC7" s="6"/>
      <c r="AD7" s="6"/>
      <c r="AE7" s="6"/>
    </row>
    <row r="8" spans="1:31">
      <c r="A8" s="6"/>
      <c r="B8" s="6"/>
      <c r="C8" s="6"/>
      <c r="D8" s="6"/>
      <c r="E8" s="93"/>
      <c r="F8" s="6"/>
      <c r="G8" s="6"/>
      <c r="H8" s="96"/>
      <c r="I8" s="6"/>
      <c r="J8" s="6"/>
      <c r="K8" s="6"/>
      <c r="L8" s="95"/>
      <c r="M8" s="6"/>
      <c r="N8" s="6"/>
      <c r="O8" s="6"/>
      <c r="P8" s="95"/>
      <c r="Q8" s="6"/>
      <c r="R8" s="6"/>
      <c r="S8" s="6"/>
      <c r="T8" s="6"/>
      <c r="U8" s="6"/>
      <c r="V8" s="6"/>
      <c r="W8" s="6"/>
      <c r="X8" s="95"/>
      <c r="Y8" s="6"/>
      <c r="Z8" s="6"/>
      <c r="AA8" s="6"/>
      <c r="AB8" s="6"/>
      <c r="AC8" s="6"/>
      <c r="AD8" s="6"/>
      <c r="AE8" s="6"/>
    </row>
    <row r="9" spans="1:31">
      <c r="A9" s="6"/>
      <c r="B9" s="6"/>
      <c r="C9" s="6"/>
      <c r="D9" s="6"/>
      <c r="E9" s="93"/>
      <c r="F9" s="6"/>
      <c r="G9" s="6"/>
      <c r="H9" s="6"/>
      <c r="I9" s="6"/>
      <c r="J9" s="6"/>
      <c r="K9" s="6"/>
      <c r="L9" s="94"/>
      <c r="M9" s="6"/>
      <c r="N9" s="6"/>
      <c r="O9" s="6"/>
      <c r="P9" s="95"/>
      <c r="Q9" s="6"/>
      <c r="R9" s="6"/>
      <c r="S9" s="6"/>
      <c r="T9" s="6"/>
      <c r="U9" s="6"/>
      <c r="V9" s="6"/>
      <c r="W9" s="6"/>
      <c r="X9" s="95"/>
      <c r="Y9" s="6"/>
      <c r="Z9" s="6"/>
      <c r="AA9" s="6"/>
      <c r="AB9" s="6"/>
      <c r="AC9" s="6"/>
      <c r="AD9" s="6"/>
      <c r="AE9" s="6"/>
    </row>
    <row r="10" spans="1:31">
      <c r="A10" s="6"/>
      <c r="B10" s="6"/>
      <c r="C10" s="6"/>
      <c r="D10" s="6"/>
      <c r="E10" s="93"/>
      <c r="F10" s="6"/>
      <c r="G10" s="6"/>
      <c r="H10" s="6"/>
      <c r="I10" s="6"/>
      <c r="J10" s="6"/>
      <c r="K10" s="6"/>
      <c r="L10" s="95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</row>
    <row r="11" spans="1:31">
      <c r="A11" s="6"/>
      <c r="B11" s="6"/>
      <c r="C11" s="6"/>
      <c r="D11" s="6"/>
      <c r="E11" s="93"/>
      <c r="F11" s="6"/>
      <c r="G11" s="6"/>
      <c r="H11" s="6"/>
      <c r="I11" s="6"/>
      <c r="J11" s="6"/>
      <c r="K11" s="6"/>
      <c r="L11" s="94"/>
      <c r="M11" s="6"/>
      <c r="N11" s="6"/>
      <c r="O11" s="6"/>
      <c r="P11" s="95"/>
      <c r="Q11" s="6"/>
      <c r="R11" s="6"/>
      <c r="S11" s="6"/>
      <c r="T11" s="95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</row>
    <row r="12" spans="1:31">
      <c r="A12" s="6"/>
      <c r="B12" s="6"/>
      <c r="C12" s="6"/>
      <c r="D12" s="6"/>
      <c r="E12" s="93"/>
      <c r="F12" s="6"/>
      <c r="G12" s="6"/>
      <c r="H12" s="6"/>
      <c r="I12" s="6"/>
      <c r="J12" s="6"/>
      <c r="K12" s="6"/>
      <c r="L12" s="94"/>
      <c r="M12" s="6"/>
      <c r="N12" s="6"/>
      <c r="O12" s="6"/>
      <c r="P12" s="95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</row>
    <row r="13" spans="1:31">
      <c r="A13" s="6"/>
      <c r="B13" s="6"/>
      <c r="C13" s="6"/>
      <c r="D13" s="6"/>
      <c r="E13" s="93"/>
      <c r="F13" s="6"/>
      <c r="G13" s="6"/>
      <c r="H13" s="6"/>
      <c r="I13" s="6"/>
      <c r="J13" s="6"/>
      <c r="K13" s="6"/>
      <c r="L13" s="95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95"/>
      <c r="Y13" s="6"/>
      <c r="Z13" s="6"/>
      <c r="AA13" s="6"/>
      <c r="AB13" s="95"/>
      <c r="AC13" s="6"/>
      <c r="AD13" s="6"/>
      <c r="AE13" s="6"/>
    </row>
    <row r="14" spans="1:31">
      <c r="A14" s="6"/>
      <c r="B14" s="7"/>
      <c r="C14" s="6"/>
      <c r="D14" s="6"/>
      <c r="E14" s="93"/>
      <c r="F14" s="6"/>
      <c r="G14" s="6"/>
      <c r="H14" s="6"/>
      <c r="I14" s="6"/>
      <c r="J14" s="6"/>
      <c r="K14" s="6"/>
      <c r="L14" s="94"/>
      <c r="M14" s="6"/>
      <c r="N14" s="6"/>
      <c r="O14" s="6"/>
      <c r="P14" s="95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</row>
    <row r="15" spans="1:31">
      <c r="A15" s="6"/>
      <c r="B15" s="6"/>
      <c r="C15" s="6"/>
      <c r="D15" s="6"/>
      <c r="E15" s="93"/>
      <c r="F15" s="6"/>
      <c r="G15" s="6"/>
      <c r="H15" s="6"/>
      <c r="I15" s="6"/>
      <c r="J15" s="6"/>
      <c r="K15" s="6"/>
      <c r="L15" s="95"/>
      <c r="M15" s="6"/>
      <c r="N15" s="6"/>
      <c r="O15" s="6"/>
      <c r="P15" s="6"/>
      <c r="Q15" s="6"/>
      <c r="R15" s="6"/>
      <c r="S15" s="6"/>
      <c r="T15" s="95"/>
      <c r="U15" s="6"/>
      <c r="V15" s="6"/>
      <c r="W15" s="6"/>
      <c r="X15" s="95"/>
      <c r="Y15" s="6"/>
      <c r="Z15" s="6"/>
      <c r="AA15" s="6"/>
      <c r="AB15" s="6"/>
      <c r="AC15" s="6"/>
      <c r="AD15" s="6"/>
      <c r="AE15" s="6"/>
    </row>
    <row r="16" spans="1:31">
      <c r="A16" s="6"/>
      <c r="B16" s="6"/>
      <c r="C16" s="6"/>
      <c r="D16" s="6"/>
      <c r="E16" s="93"/>
      <c r="F16" s="6"/>
      <c r="G16" s="6"/>
      <c r="H16" s="6"/>
      <c r="I16" s="6"/>
      <c r="J16" s="6"/>
      <c r="K16" s="6"/>
      <c r="L16" s="6"/>
      <c r="M16" s="6"/>
      <c r="N16" s="6"/>
      <c r="O16" s="6"/>
      <c r="P16" s="95"/>
      <c r="Q16" s="6"/>
      <c r="R16" s="6"/>
      <c r="S16" s="6"/>
      <c r="T16" s="6"/>
      <c r="U16" s="6"/>
      <c r="V16" s="6"/>
      <c r="W16" s="6"/>
      <c r="X16" s="95"/>
      <c r="Y16" s="6"/>
      <c r="Z16" s="6"/>
      <c r="AA16" s="6"/>
      <c r="AB16" s="6"/>
      <c r="AC16" s="6"/>
      <c r="AD16" s="6"/>
      <c r="AE16" s="6"/>
    </row>
    <row r="17" spans="1:31">
      <c r="A17" s="6"/>
      <c r="B17" s="6"/>
      <c r="C17" s="6"/>
      <c r="D17" s="6"/>
      <c r="E17" s="93"/>
      <c r="F17" s="6"/>
      <c r="G17" s="6"/>
      <c r="H17" s="6"/>
      <c r="I17" s="6"/>
      <c r="J17" s="6"/>
      <c r="K17" s="6"/>
      <c r="L17" s="94"/>
      <c r="M17" s="6"/>
      <c r="N17" s="6"/>
      <c r="O17" s="6"/>
      <c r="P17" s="95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</row>
    <row r="18" spans="1:31">
      <c r="A18" s="6"/>
      <c r="B18" s="6"/>
      <c r="C18" s="6"/>
      <c r="D18" s="6"/>
      <c r="E18" s="93"/>
      <c r="F18" s="6"/>
      <c r="G18" s="6"/>
      <c r="H18" s="6"/>
      <c r="I18" s="6"/>
      <c r="J18" s="6"/>
      <c r="K18" s="6"/>
      <c r="L18" s="94"/>
      <c r="M18" s="6"/>
      <c r="N18" s="6"/>
      <c r="O18" s="6"/>
      <c r="P18" s="95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</row>
    <row r="19" spans="1:31" ht="30" customHeight="1">
      <c r="A19" s="6"/>
      <c r="B19" s="6"/>
      <c r="C19" s="6"/>
      <c r="D19" s="6"/>
      <c r="E19" s="93"/>
      <c r="F19" s="6"/>
      <c r="G19" s="6"/>
      <c r="H19" s="9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95"/>
      <c r="U19" s="6"/>
      <c r="V19" s="6"/>
      <c r="W19" s="6"/>
      <c r="X19" s="95"/>
      <c r="Y19" s="6"/>
      <c r="Z19" s="6"/>
      <c r="AA19" s="6"/>
      <c r="AB19" s="6"/>
      <c r="AC19" s="6"/>
      <c r="AD19" s="6"/>
      <c r="AE19" s="6"/>
    </row>
    <row r="20" spans="1:31">
      <c r="A20" s="6"/>
      <c r="B20" s="6"/>
      <c r="C20" s="6"/>
      <c r="D20" s="6"/>
      <c r="E20" s="93"/>
      <c r="F20" s="6"/>
      <c r="G20" s="6"/>
      <c r="H20" s="96"/>
      <c r="I20" s="6"/>
      <c r="J20" s="6"/>
      <c r="K20" s="6"/>
      <c r="L20" s="95"/>
      <c r="M20" s="6"/>
      <c r="N20" s="6"/>
      <c r="O20" s="6"/>
      <c r="P20" s="6"/>
      <c r="Q20" s="6"/>
      <c r="R20" s="6"/>
      <c r="S20" s="6"/>
      <c r="T20" s="95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</row>
    <row r="21" spans="1:31">
      <c r="A21" s="6"/>
      <c r="B21" s="7"/>
      <c r="C21" s="6"/>
      <c r="D21" s="6"/>
      <c r="E21" s="93"/>
      <c r="F21" s="6"/>
      <c r="G21" s="6"/>
      <c r="H21" s="6"/>
      <c r="I21" s="6"/>
      <c r="J21" s="6"/>
      <c r="K21" s="6"/>
      <c r="L21" s="94"/>
      <c r="M21" s="6"/>
      <c r="N21" s="6"/>
      <c r="O21" s="6"/>
      <c r="P21" s="95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</row>
    <row r="22" spans="1:31">
      <c r="A22" s="6"/>
      <c r="B22" s="6"/>
      <c r="C22" s="6"/>
      <c r="D22" s="6"/>
      <c r="E22" s="93"/>
      <c r="F22" s="6"/>
      <c r="G22" s="6"/>
      <c r="H22" s="6"/>
      <c r="I22" s="6"/>
      <c r="J22" s="6"/>
      <c r="K22" s="6"/>
      <c r="L22" s="95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</row>
    <row r="23" spans="1:31">
      <c r="A23" s="6"/>
      <c r="B23" s="6"/>
      <c r="C23" s="6"/>
      <c r="D23" s="6"/>
      <c r="E23" s="93"/>
      <c r="F23" s="6"/>
      <c r="G23" s="6"/>
      <c r="H23" s="6"/>
      <c r="I23" s="6"/>
      <c r="J23" s="6"/>
      <c r="K23" s="6"/>
      <c r="L23" s="94"/>
      <c r="M23" s="6"/>
      <c r="N23" s="6"/>
      <c r="O23" s="6"/>
      <c r="P23" s="95"/>
      <c r="Q23" s="6"/>
      <c r="R23" s="6"/>
      <c r="S23" s="6"/>
      <c r="T23" s="95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</row>
    <row r="24" spans="1:31">
      <c r="A24" s="6"/>
      <c r="B24" s="6"/>
      <c r="C24" s="6"/>
      <c r="D24" s="6"/>
      <c r="E24" s="93"/>
      <c r="F24" s="6"/>
      <c r="G24" s="6"/>
      <c r="H24" s="6"/>
      <c r="I24" s="6"/>
      <c r="J24" s="6"/>
      <c r="K24" s="6"/>
      <c r="L24" s="95"/>
      <c r="M24" s="6"/>
      <c r="N24" s="6"/>
      <c r="O24" s="6"/>
      <c r="P24" s="94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</row>
    <row r="25" spans="1:31">
      <c r="A25" s="6"/>
      <c r="B25" s="6"/>
      <c r="C25" s="6"/>
      <c r="D25" s="6"/>
      <c r="E25" s="93"/>
      <c r="F25" s="6"/>
      <c r="G25" s="6"/>
      <c r="H25" s="6"/>
      <c r="I25" s="6"/>
      <c r="J25" s="6"/>
      <c r="K25" s="6"/>
      <c r="L25" s="95"/>
      <c r="M25" s="6"/>
      <c r="N25" s="6"/>
      <c r="O25" s="6"/>
      <c r="P25" s="94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</row>
    <row r="26" spans="1:31">
      <c r="A26" s="6"/>
      <c r="B26" s="6"/>
      <c r="C26" s="6"/>
      <c r="D26" s="6"/>
      <c r="E26" s="93"/>
      <c r="F26" s="6"/>
      <c r="G26" s="6"/>
      <c r="H26" s="6"/>
      <c r="I26" s="6"/>
      <c r="J26" s="6"/>
      <c r="K26" s="6"/>
      <c r="L26" s="95"/>
      <c r="M26" s="6"/>
      <c r="N26" s="6"/>
      <c r="O26" s="6"/>
      <c r="P26" s="94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</row>
    <row r="27" spans="1:31">
      <c r="A27" s="6"/>
      <c r="B27" s="6"/>
      <c r="C27" s="6"/>
      <c r="D27" s="6"/>
      <c r="E27" s="93"/>
      <c r="F27" s="6"/>
      <c r="G27" s="6"/>
      <c r="H27" s="6"/>
      <c r="I27" s="6"/>
      <c r="J27" s="6"/>
      <c r="K27" s="6"/>
      <c r="L27" s="95"/>
      <c r="M27" s="6"/>
      <c r="N27" s="6"/>
      <c r="O27" s="6"/>
      <c r="P27" s="94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</row>
    <row r="28" spans="1:31">
      <c r="A28" s="6"/>
      <c r="B28" s="6"/>
      <c r="C28" s="6"/>
      <c r="D28" s="6"/>
      <c r="E28" s="93"/>
      <c r="F28" s="6"/>
      <c r="G28" s="6"/>
      <c r="H28" s="6"/>
      <c r="I28" s="6"/>
      <c r="J28" s="6"/>
      <c r="K28" s="6"/>
      <c r="L28" s="95"/>
      <c r="M28" s="6"/>
      <c r="N28" s="6"/>
      <c r="O28" s="6"/>
      <c r="P28" s="94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</row>
    <row r="29" spans="1:31">
      <c r="A29" s="6"/>
      <c r="B29" s="6"/>
      <c r="C29" s="6"/>
      <c r="D29" s="6"/>
      <c r="E29" s="93"/>
      <c r="F29" s="6"/>
      <c r="G29" s="6"/>
      <c r="H29" s="6"/>
      <c r="I29" s="6"/>
      <c r="J29" s="6"/>
      <c r="K29" s="6"/>
      <c r="L29" s="95"/>
      <c r="M29" s="6"/>
      <c r="N29" s="6"/>
      <c r="O29" s="6"/>
      <c r="P29" s="94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</row>
    <row r="30" spans="1:31">
      <c r="A30" s="6"/>
      <c r="B30" s="6"/>
      <c r="C30" s="6"/>
      <c r="D30" s="6"/>
      <c r="E30" s="93"/>
      <c r="F30" s="6"/>
      <c r="G30" s="6"/>
      <c r="H30" s="6"/>
      <c r="I30" s="6"/>
      <c r="J30" s="6"/>
      <c r="K30" s="6"/>
      <c r="L30" s="95"/>
      <c r="M30" s="6"/>
      <c r="N30" s="6"/>
      <c r="O30" s="6"/>
      <c r="P30" s="94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</row>
    <row r="31" spans="1:31">
      <c r="A31" s="6"/>
      <c r="B31" s="6"/>
      <c r="C31" s="6"/>
      <c r="D31" s="6"/>
      <c r="E31" s="93"/>
      <c r="F31" s="6"/>
      <c r="G31" s="6"/>
      <c r="H31" s="6"/>
      <c r="I31" s="6"/>
      <c r="J31" s="6"/>
      <c r="K31" s="6"/>
      <c r="L31" s="95"/>
      <c r="M31" s="6"/>
      <c r="N31" s="6"/>
      <c r="O31" s="6"/>
      <c r="P31" s="94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</row>
    <row r="32" spans="1:31">
      <c r="A32" s="6"/>
      <c r="B32" s="6"/>
      <c r="C32" s="6"/>
      <c r="D32" s="6"/>
      <c r="E32" s="93"/>
      <c r="F32" s="6"/>
      <c r="G32" s="6"/>
      <c r="H32" s="6"/>
      <c r="I32" s="6"/>
      <c r="J32" s="6"/>
      <c r="K32" s="6"/>
      <c r="L32" s="95"/>
      <c r="M32" s="6"/>
      <c r="N32" s="6"/>
      <c r="O32" s="6"/>
      <c r="P32" s="94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</row>
    <row r="33" spans="1:31">
      <c r="A33" s="6"/>
      <c r="B33" s="6"/>
      <c r="C33" s="6"/>
      <c r="D33" s="6"/>
      <c r="E33" s="93"/>
      <c r="F33" s="6"/>
      <c r="G33" s="6"/>
      <c r="H33" s="6"/>
      <c r="I33" s="6"/>
      <c r="J33" s="6"/>
      <c r="K33" s="6"/>
      <c r="L33" s="95"/>
      <c r="M33" s="6"/>
      <c r="N33" s="6"/>
      <c r="O33" s="6"/>
      <c r="P33" s="94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</row>
    <row r="34" spans="1:31">
      <c r="A34" s="6"/>
      <c r="B34" s="6"/>
      <c r="C34" s="6"/>
      <c r="D34" s="6"/>
      <c r="E34" s="93"/>
      <c r="F34" s="6"/>
      <c r="G34" s="6"/>
      <c r="H34" s="6"/>
      <c r="I34" s="6"/>
      <c r="J34" s="6"/>
      <c r="K34" s="6"/>
      <c r="L34" s="95"/>
      <c r="M34" s="6"/>
      <c r="N34" s="6"/>
      <c r="O34" s="6"/>
      <c r="P34" s="94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</row>
    <row r="35" spans="1:31">
      <c r="A35" s="6"/>
      <c r="B35" s="6"/>
      <c r="C35" s="6"/>
      <c r="D35" s="6"/>
      <c r="E35" s="93"/>
      <c r="F35" s="6"/>
      <c r="G35" s="6"/>
      <c r="H35" s="6"/>
      <c r="I35" s="6"/>
      <c r="J35" s="6"/>
      <c r="K35" s="6"/>
      <c r="L35" s="95"/>
      <c r="M35" s="6"/>
      <c r="N35" s="6"/>
      <c r="O35" s="6"/>
      <c r="P35" s="94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</row>
    <row r="36" spans="1:31">
      <c r="A36" s="6"/>
      <c r="B36" s="6"/>
      <c r="C36" s="6"/>
      <c r="D36" s="6"/>
      <c r="E36" s="93"/>
      <c r="F36" s="6"/>
      <c r="G36" s="6"/>
      <c r="H36" s="6"/>
      <c r="I36" s="6"/>
      <c r="J36" s="6"/>
      <c r="K36" s="6"/>
      <c r="L36" s="95"/>
      <c r="M36" s="6"/>
      <c r="N36" s="6"/>
      <c r="O36" s="6"/>
      <c r="P36" s="94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</row>
    <row r="37" spans="1:31">
      <c r="A37" s="6"/>
      <c r="B37" s="6"/>
      <c r="C37" s="6"/>
      <c r="D37" s="6"/>
      <c r="E37" s="93"/>
      <c r="F37" s="6"/>
      <c r="G37" s="6"/>
      <c r="H37" s="6"/>
      <c r="I37" s="6"/>
      <c r="J37" s="6"/>
      <c r="K37" s="6"/>
      <c r="L37" s="95"/>
      <c r="M37" s="6"/>
      <c r="N37" s="6"/>
      <c r="O37" s="6"/>
      <c r="P37" s="94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</row>
    <row r="38" spans="1:31">
      <c r="A38" s="6"/>
      <c r="B38" s="6"/>
      <c r="C38" s="6"/>
      <c r="D38" s="6"/>
      <c r="E38" s="93"/>
      <c r="F38" s="6"/>
      <c r="G38" s="6"/>
      <c r="H38" s="6"/>
      <c r="I38" s="6"/>
      <c r="J38" s="6"/>
      <c r="K38" s="6"/>
      <c r="L38" s="95"/>
      <c r="M38" s="6"/>
      <c r="N38" s="6"/>
      <c r="O38" s="6"/>
      <c r="P38" s="94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</row>
    <row r="39" spans="1:31">
      <c r="A39" s="6"/>
      <c r="B39" s="6"/>
      <c r="C39" s="6"/>
      <c r="D39" s="6"/>
      <c r="E39" s="93"/>
      <c r="F39" s="6"/>
      <c r="G39" s="6"/>
      <c r="H39" s="6"/>
      <c r="I39" s="6"/>
      <c r="J39" s="6"/>
      <c r="K39" s="6"/>
      <c r="L39" s="95"/>
      <c r="M39" s="6"/>
      <c r="N39" s="6"/>
      <c r="O39" s="6"/>
      <c r="P39" s="94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</row>
    <row r="40" spans="1:31">
      <c r="A40" s="6"/>
      <c r="B40" s="6"/>
      <c r="C40" s="6"/>
      <c r="D40" s="6"/>
      <c r="E40" s="93"/>
      <c r="F40" s="6"/>
      <c r="G40" s="6"/>
      <c r="H40" s="6"/>
      <c r="I40" s="6"/>
      <c r="J40" s="6"/>
      <c r="K40" s="6"/>
      <c r="L40" s="95"/>
      <c r="M40" s="6"/>
      <c r="N40" s="6"/>
      <c r="O40" s="6"/>
      <c r="P40" s="94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</row>
    <row r="41" spans="1:31">
      <c r="A41" s="6"/>
      <c r="B41" s="6"/>
      <c r="C41" s="6"/>
      <c r="D41" s="6"/>
      <c r="E41" s="93"/>
      <c r="F41" s="6"/>
      <c r="G41" s="6"/>
      <c r="H41" s="6"/>
      <c r="I41" s="6"/>
      <c r="J41" s="6"/>
      <c r="K41" s="6"/>
      <c r="L41" s="95"/>
      <c r="M41" s="6"/>
      <c r="N41" s="6"/>
      <c r="O41" s="6"/>
      <c r="P41" s="94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</row>
    <row r="42" spans="1:31">
      <c r="A42" s="6"/>
      <c r="B42" s="6"/>
      <c r="C42" s="6"/>
      <c r="D42" s="6"/>
      <c r="E42" s="93"/>
      <c r="F42" s="6"/>
      <c r="G42" s="6"/>
      <c r="H42" s="6"/>
      <c r="I42" s="6"/>
      <c r="J42" s="6"/>
      <c r="K42" s="6"/>
      <c r="L42" s="95"/>
      <c r="M42" s="6"/>
      <c r="N42" s="6"/>
      <c r="O42" s="6"/>
      <c r="P42" s="94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</row>
    <row r="43" spans="1:31">
      <c r="A43" s="6"/>
      <c r="B43" s="6"/>
      <c r="C43" s="6"/>
      <c r="D43" s="6"/>
      <c r="E43" s="93"/>
      <c r="F43" s="6"/>
      <c r="G43" s="6"/>
      <c r="H43" s="6"/>
      <c r="I43" s="6"/>
      <c r="J43" s="6"/>
      <c r="K43" s="6"/>
      <c r="L43" s="95"/>
      <c r="M43" s="6"/>
      <c r="N43" s="6"/>
      <c r="O43" s="6"/>
      <c r="P43" s="94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</row>
    <row r="44" spans="1:31">
      <c r="A44" s="6"/>
      <c r="B44" s="6"/>
      <c r="C44" s="6"/>
      <c r="D44" s="6"/>
      <c r="E44" s="93"/>
      <c r="F44" s="6"/>
      <c r="G44" s="6"/>
      <c r="H44" s="6"/>
      <c r="I44" s="6"/>
      <c r="J44" s="6"/>
      <c r="K44" s="6"/>
      <c r="L44" s="95"/>
      <c r="M44" s="6"/>
      <c r="N44" s="6"/>
      <c r="O44" s="6"/>
      <c r="P44" s="94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</row>
    <row r="45" spans="1:31">
      <c r="A45" s="6"/>
      <c r="B45" s="6"/>
      <c r="C45" s="6"/>
      <c r="D45" s="6"/>
      <c r="E45" s="93"/>
      <c r="F45" s="6"/>
      <c r="G45" s="6"/>
      <c r="H45" s="6"/>
      <c r="I45" s="6"/>
      <c r="J45" s="6"/>
      <c r="K45" s="6"/>
      <c r="L45" s="95"/>
      <c r="M45" s="6"/>
      <c r="N45" s="6"/>
      <c r="O45" s="6"/>
      <c r="P45" s="94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</row>
    <row r="46" spans="1:31">
      <c r="A46" s="6"/>
      <c r="B46" s="6"/>
      <c r="C46" s="6"/>
      <c r="D46" s="6"/>
      <c r="E46" s="93"/>
      <c r="F46" s="6"/>
      <c r="G46" s="6"/>
      <c r="H46" s="6"/>
      <c r="I46" s="6"/>
      <c r="J46" s="6"/>
      <c r="K46" s="6"/>
      <c r="L46" s="95"/>
      <c r="M46" s="6"/>
      <c r="N46" s="6"/>
      <c r="O46" s="6"/>
      <c r="P46" s="94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</row>
    <row r="47" spans="1:31">
      <c r="A47" s="6"/>
      <c r="B47" s="6"/>
      <c r="C47" s="6"/>
      <c r="D47" s="6"/>
      <c r="E47" s="93"/>
      <c r="F47" s="6"/>
      <c r="G47" s="6"/>
      <c r="H47" s="6"/>
      <c r="I47" s="6"/>
      <c r="J47" s="6"/>
      <c r="K47" s="6"/>
      <c r="L47" s="95"/>
      <c r="M47" s="6"/>
      <c r="N47" s="6"/>
      <c r="O47" s="6"/>
      <c r="P47" s="94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</row>
    <row r="48" spans="1:31">
      <c r="A48" s="6"/>
      <c r="B48" s="6"/>
      <c r="C48" s="6"/>
      <c r="D48" s="6"/>
      <c r="E48" s="93"/>
      <c r="F48" s="6"/>
      <c r="G48" s="6"/>
      <c r="H48" s="6"/>
      <c r="I48" s="6"/>
      <c r="J48" s="6"/>
      <c r="K48" s="6"/>
      <c r="L48" s="95"/>
      <c r="M48" s="6"/>
      <c r="N48" s="6"/>
      <c r="O48" s="6"/>
      <c r="P48" s="94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</row>
    <row r="49" spans="1:31">
      <c r="A49" s="6"/>
      <c r="B49" s="6"/>
      <c r="C49" s="6"/>
      <c r="D49" s="6"/>
      <c r="E49" s="93"/>
      <c r="F49" s="6"/>
      <c r="G49" s="6"/>
      <c r="H49" s="6"/>
      <c r="I49" s="6"/>
      <c r="J49" s="6"/>
      <c r="K49" s="6"/>
      <c r="L49" s="95"/>
      <c r="M49" s="6"/>
      <c r="N49" s="6"/>
      <c r="O49" s="6"/>
      <c r="P49" s="94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</row>
    <row r="50" spans="1:31">
      <c r="A50" s="6"/>
      <c r="B50" s="6"/>
      <c r="C50" s="6"/>
      <c r="D50" s="6"/>
      <c r="E50" s="93"/>
      <c r="F50" s="6"/>
      <c r="G50" s="6"/>
      <c r="H50" s="6"/>
      <c r="I50" s="6"/>
      <c r="J50" s="6"/>
      <c r="K50" s="6"/>
      <c r="L50" s="95"/>
      <c r="M50" s="6"/>
      <c r="N50" s="6"/>
      <c r="O50" s="6"/>
      <c r="P50" s="94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</row>
    <row r="51" spans="1:31">
      <c r="A51" s="6"/>
      <c r="B51" s="6"/>
      <c r="C51" s="6"/>
      <c r="D51" s="6"/>
      <c r="E51" s="93"/>
      <c r="F51" s="6"/>
      <c r="G51" s="6"/>
      <c r="H51" s="6"/>
      <c r="I51" s="6"/>
      <c r="J51" s="6"/>
      <c r="K51" s="6"/>
      <c r="L51" s="95"/>
      <c r="M51" s="6"/>
      <c r="N51" s="6"/>
      <c r="O51" s="6"/>
      <c r="P51" s="94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</row>
    <row r="52" spans="1:31">
      <c r="A52" s="6"/>
      <c r="B52" s="6"/>
      <c r="C52" s="6"/>
      <c r="D52" s="6"/>
      <c r="E52" s="93"/>
      <c r="F52" s="6"/>
      <c r="G52" s="6"/>
      <c r="H52" s="6"/>
      <c r="I52" s="6"/>
      <c r="J52" s="6"/>
      <c r="K52" s="6"/>
      <c r="L52" s="95"/>
      <c r="M52" s="6"/>
      <c r="N52" s="6"/>
      <c r="O52" s="6"/>
      <c r="P52" s="94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</row>
    <row r="53" spans="1:31">
      <c r="A53" s="6"/>
      <c r="B53" s="6"/>
      <c r="C53" s="6"/>
      <c r="D53" s="6"/>
      <c r="E53" s="93"/>
      <c r="F53" s="6"/>
      <c r="G53" s="6"/>
      <c r="H53" s="6"/>
      <c r="I53" s="6"/>
      <c r="J53" s="6"/>
      <c r="K53" s="6"/>
      <c r="L53" s="95"/>
      <c r="M53" s="6"/>
      <c r="N53" s="6"/>
      <c r="O53" s="6"/>
      <c r="P53" s="94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</row>
    <row r="54" spans="1:31">
      <c r="A54" s="6"/>
      <c r="B54" s="6"/>
      <c r="C54" s="6"/>
      <c r="D54" s="6"/>
      <c r="E54" s="93"/>
      <c r="F54" s="6"/>
      <c r="G54" s="6"/>
      <c r="H54" s="6"/>
      <c r="I54" s="6"/>
      <c r="J54" s="6"/>
      <c r="K54" s="6"/>
      <c r="L54" s="95"/>
      <c r="M54" s="6"/>
      <c r="N54" s="6"/>
      <c r="O54" s="6"/>
      <c r="P54" s="94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</row>
    <row r="55" spans="1:31">
      <c r="A55" s="6"/>
      <c r="B55" s="6"/>
      <c r="C55" s="6"/>
      <c r="D55" s="6"/>
      <c r="E55" s="93"/>
      <c r="F55" s="6"/>
      <c r="G55" s="6"/>
      <c r="H55" s="6"/>
      <c r="I55" s="6"/>
      <c r="J55" s="6"/>
      <c r="K55" s="6"/>
      <c r="L55" s="95"/>
      <c r="M55" s="6"/>
      <c r="N55" s="6"/>
      <c r="O55" s="6"/>
      <c r="P55" s="94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</row>
    <row r="56" spans="1:31">
      <c r="A56" s="6"/>
      <c r="B56" s="6"/>
      <c r="C56" s="6"/>
      <c r="D56" s="6"/>
      <c r="E56" s="93"/>
      <c r="F56" s="6"/>
      <c r="G56" s="6"/>
      <c r="H56" s="6"/>
      <c r="I56" s="6"/>
      <c r="J56" s="6"/>
      <c r="K56" s="6"/>
      <c r="L56" s="95"/>
      <c r="M56" s="6"/>
      <c r="N56" s="6"/>
      <c r="O56" s="6"/>
      <c r="P56" s="94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</row>
    <row r="57" spans="1:31">
      <c r="A57" s="6"/>
      <c r="B57" s="6"/>
      <c r="C57" s="6"/>
      <c r="D57" s="6"/>
      <c r="E57" s="93"/>
      <c r="F57" s="6"/>
      <c r="G57" s="6"/>
      <c r="H57" s="6"/>
      <c r="I57" s="6"/>
      <c r="J57" s="6"/>
      <c r="K57" s="6"/>
      <c r="L57" s="95"/>
      <c r="M57" s="6"/>
      <c r="N57" s="6"/>
      <c r="O57" s="6"/>
      <c r="P57" s="94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</row>
    <row r="58" spans="1:31">
      <c r="A58" s="6"/>
      <c r="B58" s="6"/>
      <c r="C58" s="6"/>
      <c r="D58" s="6"/>
      <c r="E58" s="93"/>
      <c r="F58" s="6"/>
      <c r="G58" s="6"/>
      <c r="H58" s="6"/>
      <c r="I58" s="6"/>
      <c r="J58" s="6"/>
      <c r="K58" s="6"/>
      <c r="L58" s="95"/>
      <c r="M58" s="6"/>
      <c r="N58" s="6"/>
      <c r="O58" s="6"/>
      <c r="P58" s="94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</row>
    <row r="59" spans="1:31">
      <c r="A59" s="6"/>
      <c r="B59" s="6"/>
      <c r="C59" s="6"/>
      <c r="D59" s="6"/>
      <c r="E59" s="93"/>
      <c r="F59" s="6"/>
      <c r="G59" s="6"/>
      <c r="H59" s="6"/>
      <c r="I59" s="6"/>
      <c r="J59" s="6"/>
      <c r="K59" s="6"/>
      <c r="L59" s="95"/>
      <c r="M59" s="6"/>
      <c r="N59" s="6"/>
      <c r="O59" s="6"/>
      <c r="P59" s="94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</row>
    <row r="60" spans="1:31">
      <c r="A60" s="6"/>
      <c r="B60" s="6"/>
      <c r="C60" s="6"/>
      <c r="D60" s="6"/>
      <c r="E60" s="93"/>
      <c r="F60" s="6"/>
      <c r="G60" s="6"/>
      <c r="H60" s="6"/>
      <c r="I60" s="6"/>
      <c r="J60" s="6"/>
      <c r="K60" s="6"/>
      <c r="L60" s="95"/>
      <c r="M60" s="6"/>
      <c r="N60" s="6"/>
      <c r="O60" s="6"/>
      <c r="P60" s="94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</row>
    <row r="61" spans="1:31">
      <c r="A61" s="6"/>
      <c r="B61" s="6"/>
      <c r="C61" s="6"/>
      <c r="D61" s="6"/>
      <c r="E61" s="93"/>
      <c r="F61" s="6"/>
      <c r="G61" s="6"/>
      <c r="H61" s="6"/>
      <c r="I61" s="6"/>
      <c r="J61" s="6"/>
      <c r="K61" s="6"/>
      <c r="L61" s="95"/>
      <c r="M61" s="6"/>
      <c r="N61" s="6"/>
      <c r="O61" s="6"/>
      <c r="P61" s="94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</row>
    <row r="62" spans="1:31">
      <c r="A62" s="6"/>
      <c r="B62" s="6"/>
      <c r="C62" s="6"/>
      <c r="D62" s="6"/>
      <c r="E62" s="93"/>
      <c r="F62" s="6"/>
      <c r="G62" s="6"/>
      <c r="H62" s="6"/>
      <c r="I62" s="6"/>
      <c r="J62" s="6"/>
      <c r="K62" s="6"/>
      <c r="L62" s="95"/>
      <c r="M62" s="6"/>
      <c r="N62" s="6"/>
      <c r="O62" s="6"/>
      <c r="P62" s="94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</row>
    <row r="63" spans="1:31">
      <c r="A63" s="6"/>
      <c r="B63" s="6"/>
      <c r="C63" s="6"/>
      <c r="D63" s="6"/>
      <c r="E63" s="93"/>
      <c r="F63" s="6"/>
      <c r="G63" s="6"/>
      <c r="H63" s="6"/>
      <c r="I63" s="6"/>
      <c r="J63" s="6"/>
      <c r="K63" s="6"/>
      <c r="L63" s="95"/>
      <c r="M63" s="6"/>
      <c r="N63" s="6"/>
      <c r="O63" s="6"/>
      <c r="P63" s="94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</row>
    <row r="64" spans="1:31">
      <c r="A64" s="6"/>
      <c r="B64" s="6"/>
      <c r="C64" s="6"/>
      <c r="D64" s="6"/>
      <c r="E64" s="93"/>
      <c r="F64" s="6"/>
      <c r="G64" s="6"/>
      <c r="H64" s="6"/>
      <c r="I64" s="6"/>
      <c r="J64" s="6"/>
      <c r="K64" s="6"/>
      <c r="L64" s="95"/>
      <c r="M64" s="6"/>
      <c r="N64" s="6"/>
      <c r="O64" s="6"/>
      <c r="P64" s="94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</row>
    <row r="65" spans="1:31">
      <c r="A65" s="6"/>
      <c r="B65" s="6"/>
      <c r="C65" s="6"/>
      <c r="D65" s="6"/>
      <c r="E65" s="93"/>
      <c r="F65" s="6"/>
      <c r="G65" s="6"/>
      <c r="H65" s="6"/>
      <c r="I65" s="6"/>
      <c r="J65" s="6"/>
      <c r="K65" s="6"/>
      <c r="L65" s="95"/>
      <c r="M65" s="6"/>
      <c r="N65" s="6"/>
      <c r="O65" s="6"/>
      <c r="P65" s="94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</row>
    <row r="66" spans="1:31">
      <c r="A66" s="6"/>
      <c r="B66" s="6"/>
      <c r="C66" s="6"/>
      <c r="D66" s="6"/>
      <c r="E66" s="93"/>
      <c r="F66" s="6"/>
      <c r="G66" s="6"/>
      <c r="H66" s="6"/>
      <c r="I66" s="6"/>
      <c r="J66" s="6"/>
      <c r="K66" s="6"/>
      <c r="L66" s="95"/>
      <c r="M66" s="6"/>
      <c r="N66" s="6"/>
      <c r="O66" s="6"/>
      <c r="P66" s="94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</row>
    <row r="67" spans="1:31">
      <c r="A67" s="6"/>
      <c r="B67" s="6"/>
      <c r="C67" s="6"/>
      <c r="D67" s="6"/>
      <c r="E67" s="93"/>
      <c r="F67" s="6"/>
      <c r="G67" s="6"/>
      <c r="H67" s="6"/>
      <c r="I67" s="6"/>
      <c r="J67" s="6"/>
      <c r="K67" s="6"/>
      <c r="L67" s="95"/>
      <c r="M67" s="6"/>
      <c r="N67" s="6"/>
      <c r="O67" s="6"/>
      <c r="P67" s="94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</row>
    <row r="68" spans="1:31">
      <c r="A68" s="6"/>
      <c r="B68" s="6"/>
      <c r="C68" s="6"/>
      <c r="D68" s="6"/>
      <c r="E68" s="93"/>
      <c r="F68" s="6"/>
      <c r="G68" s="6"/>
      <c r="H68" s="6"/>
      <c r="I68" s="6"/>
      <c r="J68" s="6"/>
      <c r="K68" s="6"/>
      <c r="L68" s="95"/>
      <c r="M68" s="6"/>
      <c r="N68" s="6"/>
      <c r="O68" s="6"/>
      <c r="P68" s="94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</row>
    <row r="69" spans="1:31">
      <c r="A69" s="6"/>
      <c r="B69" s="6"/>
      <c r="C69" s="6"/>
      <c r="D69" s="6"/>
      <c r="E69" s="93"/>
      <c r="F69" s="6"/>
      <c r="G69" s="6"/>
      <c r="H69" s="6"/>
      <c r="I69" s="6"/>
      <c r="J69" s="6"/>
      <c r="K69" s="6"/>
      <c r="L69" s="95"/>
      <c r="M69" s="6"/>
      <c r="N69" s="6"/>
      <c r="O69" s="6"/>
      <c r="P69" s="94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</row>
    <row r="70" spans="1:31">
      <c r="A70" s="6"/>
      <c r="B70" s="6"/>
      <c r="C70" s="6"/>
      <c r="D70" s="6"/>
      <c r="E70" s="93"/>
      <c r="F70" s="6"/>
      <c r="G70" s="6"/>
      <c r="H70" s="6"/>
      <c r="I70" s="6"/>
      <c r="J70" s="6"/>
      <c r="K70" s="6"/>
      <c r="L70" s="95"/>
      <c r="M70" s="6"/>
      <c r="N70" s="6"/>
      <c r="O70" s="6"/>
      <c r="P70" s="94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</row>
    <row r="71" spans="1:31">
      <c r="A71" s="6"/>
      <c r="B71" s="6"/>
      <c r="C71" s="6"/>
      <c r="D71" s="6"/>
      <c r="E71" s="93"/>
      <c r="F71" s="6"/>
      <c r="G71" s="6"/>
      <c r="H71" s="6"/>
      <c r="I71" s="6"/>
      <c r="J71" s="6"/>
      <c r="K71" s="6"/>
      <c r="L71" s="95"/>
      <c r="M71" s="6"/>
      <c r="N71" s="6"/>
      <c r="O71" s="6"/>
      <c r="P71" s="94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</row>
    <row r="72" spans="1:31">
      <c r="A72" s="6"/>
      <c r="B72" s="6"/>
      <c r="C72" s="6"/>
      <c r="D72" s="6"/>
      <c r="E72" s="93"/>
      <c r="F72" s="6"/>
      <c r="G72" s="6"/>
      <c r="H72" s="6"/>
      <c r="I72" s="6"/>
      <c r="J72" s="6"/>
      <c r="K72" s="6"/>
      <c r="L72" s="95"/>
      <c r="M72" s="6"/>
      <c r="N72" s="6"/>
      <c r="O72" s="6"/>
      <c r="P72" s="94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</row>
    <row r="73" spans="1:31">
      <c r="A73" s="6"/>
      <c r="B73" s="6"/>
      <c r="C73" s="6"/>
      <c r="D73" s="6"/>
      <c r="E73" s="93"/>
      <c r="F73" s="6"/>
      <c r="G73" s="6"/>
      <c r="H73" s="6"/>
      <c r="I73" s="6"/>
      <c r="J73" s="6"/>
      <c r="K73" s="6"/>
      <c r="L73" s="95"/>
      <c r="M73" s="6"/>
      <c r="N73" s="6"/>
      <c r="O73" s="6"/>
      <c r="P73" s="94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</row>
    <row r="74" spans="1:31">
      <c r="A74" s="6"/>
      <c r="B74" s="6"/>
      <c r="C74" s="6"/>
      <c r="D74" s="6"/>
      <c r="E74" s="93"/>
      <c r="F74" s="6"/>
      <c r="G74" s="6"/>
      <c r="H74" s="6"/>
      <c r="I74" s="6"/>
      <c r="J74" s="6"/>
      <c r="K74" s="6"/>
      <c r="L74" s="95"/>
      <c r="M74" s="6"/>
      <c r="N74" s="6"/>
      <c r="O74" s="6"/>
      <c r="P74" s="94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</row>
    <row r="75" spans="1:31">
      <c r="A75" s="6"/>
      <c r="B75" s="6"/>
      <c r="C75" s="6"/>
      <c r="D75" s="6"/>
      <c r="E75" s="93"/>
      <c r="F75" s="6"/>
      <c r="G75" s="6"/>
      <c r="H75" s="6"/>
      <c r="I75" s="6"/>
      <c r="J75" s="6"/>
      <c r="K75" s="6"/>
      <c r="L75" s="95"/>
      <c r="M75" s="6"/>
      <c r="N75" s="6"/>
      <c r="O75" s="6"/>
      <c r="P75" s="94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</row>
    <row r="76" spans="1:31">
      <c r="A76" s="6"/>
      <c r="B76" s="6"/>
      <c r="C76" s="6"/>
      <c r="D76" s="6"/>
      <c r="E76" s="93"/>
      <c r="F76" s="6"/>
      <c r="G76" s="6"/>
      <c r="H76" s="6"/>
      <c r="I76" s="6"/>
      <c r="J76" s="6"/>
      <c r="K76" s="6"/>
      <c r="L76" s="95"/>
      <c r="M76" s="6"/>
      <c r="N76" s="6"/>
      <c r="O76" s="6"/>
      <c r="P76" s="94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</row>
    <row r="77" spans="1:31">
      <c r="A77" s="6"/>
      <c r="B77" s="6"/>
      <c r="C77" s="6"/>
      <c r="D77" s="6"/>
      <c r="E77" s="93"/>
      <c r="F77" s="6"/>
      <c r="G77" s="6"/>
      <c r="H77" s="6"/>
      <c r="I77" s="6"/>
      <c r="J77" s="6"/>
      <c r="K77" s="6"/>
      <c r="L77" s="95"/>
      <c r="M77" s="6"/>
      <c r="N77" s="6"/>
      <c r="O77" s="6"/>
      <c r="P77" s="94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</row>
    <row r="78" spans="1:31">
      <c r="A78" s="6"/>
      <c r="B78" s="6"/>
      <c r="C78" s="6"/>
      <c r="D78" s="6"/>
      <c r="E78" s="93"/>
      <c r="F78" s="6"/>
      <c r="G78" s="6"/>
      <c r="H78" s="6"/>
      <c r="I78" s="6"/>
      <c r="J78" s="6"/>
      <c r="K78" s="6"/>
      <c r="L78" s="95"/>
      <c r="M78" s="6"/>
      <c r="N78" s="6"/>
      <c r="O78" s="6"/>
      <c r="P78" s="94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</row>
    <row r="79" spans="1:31">
      <c r="A79" s="6"/>
      <c r="B79" s="6"/>
      <c r="C79" s="6"/>
      <c r="D79" s="6"/>
      <c r="E79" s="93"/>
      <c r="F79" s="6"/>
      <c r="G79" s="6"/>
      <c r="H79" s="6"/>
      <c r="I79" s="6"/>
      <c r="J79" s="6"/>
      <c r="K79" s="6"/>
      <c r="L79" s="95"/>
      <c r="M79" s="6"/>
      <c r="N79" s="6"/>
      <c r="O79" s="6"/>
      <c r="P79" s="94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</row>
    <row r="80" spans="1:31">
      <c r="A80" s="6"/>
      <c r="B80" s="6"/>
      <c r="C80" s="6"/>
      <c r="D80" s="6"/>
      <c r="E80" s="93"/>
      <c r="F80" s="6"/>
      <c r="G80" s="6"/>
      <c r="H80" s="6"/>
      <c r="I80" s="6"/>
      <c r="J80" s="6"/>
      <c r="K80" s="6"/>
      <c r="L80" s="95"/>
      <c r="M80" s="6"/>
      <c r="N80" s="6"/>
      <c r="O80" s="6"/>
      <c r="P80" s="94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</row>
    <row r="81" spans="1:31">
      <c r="A81" s="6"/>
      <c r="B81" s="6"/>
      <c r="C81" s="6"/>
      <c r="D81" s="6"/>
      <c r="E81" s="93"/>
      <c r="F81" s="6"/>
      <c r="G81" s="6"/>
      <c r="H81" s="6"/>
      <c r="I81" s="6"/>
      <c r="J81" s="6"/>
      <c r="K81" s="6"/>
      <c r="L81" s="95"/>
      <c r="M81" s="6"/>
      <c r="N81" s="6"/>
      <c r="O81" s="6"/>
      <c r="P81" s="94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</row>
    <row r="82" spans="1:31">
      <c r="A82" s="6"/>
      <c r="B82" s="6"/>
      <c r="C82" s="6"/>
      <c r="D82" s="6"/>
      <c r="E82" s="93"/>
      <c r="F82" s="6"/>
      <c r="G82" s="6"/>
      <c r="H82" s="6"/>
      <c r="I82" s="6"/>
      <c r="J82" s="6"/>
      <c r="K82" s="6"/>
      <c r="L82" s="95"/>
      <c r="M82" s="6"/>
      <c r="N82" s="6"/>
      <c r="O82" s="6"/>
      <c r="P82" s="94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</row>
    <row r="83" spans="1:31">
      <c r="A83" s="6"/>
      <c r="B83" s="6"/>
      <c r="C83" s="6"/>
      <c r="D83" s="6"/>
      <c r="E83" s="93"/>
      <c r="F83" s="6"/>
      <c r="G83" s="6"/>
      <c r="H83" s="6"/>
      <c r="I83" s="6"/>
      <c r="J83" s="6"/>
      <c r="K83" s="6"/>
      <c r="L83" s="95"/>
      <c r="M83" s="6"/>
      <c r="N83" s="6"/>
      <c r="O83" s="6"/>
      <c r="P83" s="94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</row>
    <row r="84" spans="1:31">
      <c r="A84" s="6"/>
      <c r="B84" s="6"/>
      <c r="C84" s="6"/>
      <c r="D84" s="6"/>
      <c r="E84" s="93"/>
      <c r="F84" s="6"/>
      <c r="G84" s="6"/>
      <c r="H84" s="6"/>
      <c r="I84" s="6"/>
      <c r="J84" s="6"/>
      <c r="K84" s="6"/>
      <c r="L84" s="95"/>
      <c r="M84" s="6"/>
      <c r="N84" s="6"/>
      <c r="O84" s="6"/>
      <c r="P84" s="94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</row>
  </sheetData>
  <sortState ref="A2:AE26">
    <sortCondition descending="1" ref="E2:E2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6">
    <tabColor rgb="FF0070C0"/>
  </sheetPr>
  <dimension ref="A1:Q54"/>
  <sheetViews>
    <sheetView workbookViewId="0"/>
  </sheetViews>
  <sheetFormatPr baseColWidth="10" defaultRowHeight="15"/>
  <cols>
    <col min="1" max="1" width="11.42578125" style="77"/>
    <col min="2" max="2" width="29.7109375" style="7" customWidth="1"/>
    <col min="3" max="5" width="6" style="77" customWidth="1"/>
    <col min="6" max="6" width="23.85546875" style="77" customWidth="1"/>
    <col min="7" max="16" width="13.7109375" style="77" customWidth="1"/>
    <col min="17" max="16384" width="11.42578125" style="77"/>
  </cols>
  <sheetData>
    <row r="1" spans="1:17" ht="30.75" thickBot="1">
      <c r="A1" s="84" t="s">
        <v>90</v>
      </c>
      <c r="B1" s="97" t="s">
        <v>3</v>
      </c>
      <c r="C1" s="87" t="s">
        <v>89</v>
      </c>
      <c r="D1" s="88" t="s">
        <v>83</v>
      </c>
      <c r="E1" s="14" t="s">
        <v>92</v>
      </c>
      <c r="F1" s="81" t="s">
        <v>148</v>
      </c>
      <c r="G1" s="78" t="s">
        <v>156</v>
      </c>
      <c r="H1" s="79" t="s">
        <v>157</v>
      </c>
    </row>
    <row r="2" spans="1:17" ht="68.25" customHeight="1" thickBot="1">
      <c r="A2" s="6" t="s">
        <v>159</v>
      </c>
      <c r="B2" s="6" t="s">
        <v>158</v>
      </c>
      <c r="C2" s="6">
        <v>5</v>
      </c>
      <c r="D2" s="6">
        <v>6</v>
      </c>
      <c r="E2" s="93">
        <v>30</v>
      </c>
      <c r="F2" s="92" t="s">
        <v>149</v>
      </c>
      <c r="G2" s="98" t="s">
        <v>150</v>
      </c>
      <c r="H2" s="99" t="s">
        <v>151</v>
      </c>
      <c r="I2" s="91"/>
      <c r="J2" s="91"/>
      <c r="K2" s="91"/>
      <c r="L2" s="91"/>
      <c r="M2" s="91"/>
      <c r="N2" s="91"/>
      <c r="O2" s="91"/>
      <c r="P2" s="91"/>
      <c r="Q2" s="91"/>
    </row>
    <row r="3" spans="1:17" ht="26.25">
      <c r="A3" s="7"/>
      <c r="C3" s="7"/>
      <c r="D3" s="7"/>
      <c r="E3" s="90"/>
      <c r="F3" s="7"/>
      <c r="H3" s="91"/>
      <c r="I3" s="91"/>
      <c r="J3" s="91"/>
      <c r="L3" s="91"/>
      <c r="M3" s="91"/>
      <c r="N3" s="91"/>
      <c r="O3" s="91"/>
      <c r="Q3" s="91"/>
    </row>
    <row r="4" spans="1:17" ht="26.25">
      <c r="A4" s="7"/>
      <c r="C4" s="7"/>
      <c r="D4" s="7"/>
      <c r="E4" s="90"/>
      <c r="F4" s="7"/>
      <c r="G4" s="91"/>
      <c r="H4" s="91"/>
      <c r="I4" s="91"/>
      <c r="J4" s="91"/>
      <c r="L4" s="91"/>
      <c r="M4" s="91"/>
      <c r="O4" s="91"/>
      <c r="Q4" s="91"/>
    </row>
    <row r="5" spans="1:17" ht="26.25">
      <c r="A5" s="7"/>
      <c r="C5" s="7"/>
      <c r="D5" s="7"/>
      <c r="E5" s="90"/>
      <c r="F5" s="7"/>
      <c r="G5" s="91"/>
      <c r="H5" s="91"/>
      <c r="I5" s="91"/>
      <c r="M5" s="91"/>
      <c r="O5" s="91"/>
      <c r="Q5" s="91"/>
    </row>
    <row r="6" spans="1:17" ht="26.25">
      <c r="A6" s="7"/>
      <c r="C6" s="7"/>
      <c r="D6" s="7"/>
      <c r="E6" s="90"/>
      <c r="F6" s="7"/>
      <c r="G6" s="91"/>
      <c r="H6" s="91"/>
      <c r="I6" s="91"/>
      <c r="K6" s="91"/>
      <c r="L6" s="91"/>
      <c r="M6" s="91"/>
      <c r="O6" s="91"/>
      <c r="Q6" s="91"/>
    </row>
    <row r="7" spans="1:17" ht="26.25">
      <c r="A7" s="7"/>
      <c r="C7" s="7"/>
      <c r="D7" s="7"/>
      <c r="E7" s="90"/>
      <c r="F7" s="7"/>
      <c r="G7" s="91"/>
      <c r="I7" s="91"/>
      <c r="L7" s="91"/>
      <c r="M7" s="91"/>
      <c r="O7" s="91"/>
      <c r="Q7" s="91"/>
    </row>
    <row r="8" spans="1:17" ht="26.25">
      <c r="A8" s="7"/>
      <c r="C8" s="7"/>
      <c r="D8" s="7"/>
      <c r="E8" s="90"/>
      <c r="F8" s="7"/>
      <c r="G8" s="91"/>
      <c r="H8" s="91"/>
      <c r="I8" s="91"/>
      <c r="L8" s="91"/>
      <c r="M8" s="91"/>
      <c r="N8" s="91"/>
      <c r="O8" s="91"/>
      <c r="Q8" s="91"/>
    </row>
    <row r="9" spans="1:17" ht="26.25">
      <c r="A9" s="7"/>
      <c r="C9" s="7"/>
      <c r="D9" s="7"/>
      <c r="E9" s="90"/>
      <c r="F9" s="7"/>
      <c r="G9" s="91"/>
      <c r="H9" s="91"/>
      <c r="I9" s="91"/>
      <c r="L9" s="91"/>
      <c r="M9" s="91"/>
      <c r="N9" s="91"/>
      <c r="O9" s="91"/>
      <c r="Q9" s="91"/>
    </row>
    <row r="10" spans="1:17" ht="26.25">
      <c r="A10" s="7"/>
      <c r="C10" s="7"/>
      <c r="D10" s="7"/>
      <c r="E10" s="90"/>
      <c r="F10" s="7"/>
      <c r="G10" s="91"/>
      <c r="H10" s="91"/>
      <c r="I10" s="91"/>
      <c r="J10" s="91"/>
      <c r="L10" s="91"/>
      <c r="M10" s="91"/>
      <c r="O10" s="91"/>
      <c r="Q10" s="91"/>
    </row>
    <row r="11" spans="1:17" ht="26.25">
      <c r="A11" s="7"/>
      <c r="C11" s="7"/>
      <c r="D11" s="7"/>
      <c r="E11" s="90"/>
      <c r="F11" s="7"/>
      <c r="H11" s="91"/>
      <c r="I11" s="91"/>
      <c r="L11" s="91"/>
      <c r="O11" s="91"/>
    </row>
    <row r="12" spans="1:17" ht="26.25">
      <c r="A12" s="7"/>
      <c r="C12" s="7"/>
      <c r="D12" s="7"/>
      <c r="E12" s="90"/>
      <c r="F12" s="7"/>
      <c r="G12" s="91"/>
      <c r="H12" s="91"/>
      <c r="I12" s="91"/>
      <c r="J12" s="91"/>
      <c r="L12" s="91"/>
      <c r="M12" s="91"/>
      <c r="N12" s="91"/>
      <c r="O12" s="91"/>
    </row>
    <row r="13" spans="1:17" ht="26.25">
      <c r="A13" s="7"/>
      <c r="C13" s="7"/>
      <c r="D13" s="7"/>
      <c r="E13" s="90"/>
      <c r="F13" s="7"/>
      <c r="G13" s="91"/>
      <c r="H13" s="91"/>
      <c r="I13" s="91"/>
      <c r="L13" s="91"/>
      <c r="M13" s="91"/>
      <c r="N13" s="91"/>
      <c r="O13" s="91"/>
    </row>
    <row r="14" spans="1:17" ht="26.25">
      <c r="A14" s="7"/>
      <c r="C14" s="7"/>
      <c r="D14" s="7"/>
      <c r="E14" s="90"/>
      <c r="F14" s="7"/>
      <c r="G14" s="91"/>
      <c r="H14" s="91"/>
      <c r="I14" s="91"/>
      <c r="J14" s="91"/>
      <c r="L14" s="91"/>
      <c r="M14" s="91"/>
      <c r="N14" s="91"/>
      <c r="O14" s="91"/>
    </row>
    <row r="15" spans="1:17" ht="26.25">
      <c r="A15" s="7"/>
      <c r="C15" s="7"/>
      <c r="D15" s="7"/>
      <c r="E15" s="90"/>
      <c r="F15" s="7"/>
      <c r="H15" s="91"/>
      <c r="I15" s="91"/>
      <c r="L15" s="91"/>
      <c r="M15" s="91"/>
      <c r="O15" s="91"/>
    </row>
    <row r="16" spans="1:17" ht="26.25">
      <c r="A16" s="7"/>
      <c r="C16" s="7"/>
      <c r="D16" s="7"/>
      <c r="E16" s="90"/>
      <c r="F16" s="7"/>
      <c r="H16" s="91"/>
      <c r="I16" s="91"/>
      <c r="J16" s="91"/>
      <c r="L16" s="91"/>
      <c r="M16" s="91"/>
      <c r="Q16" s="91"/>
    </row>
    <row r="17" spans="1:17" ht="26.25">
      <c r="A17" s="7"/>
      <c r="C17" s="7"/>
      <c r="D17" s="7"/>
      <c r="E17" s="90"/>
      <c r="F17" s="7"/>
      <c r="I17" s="91"/>
      <c r="J17" s="91"/>
      <c r="L17" s="91"/>
      <c r="M17" s="91"/>
      <c r="O17" s="91"/>
      <c r="Q17" s="91"/>
    </row>
    <row r="18" spans="1:17" ht="26.25">
      <c r="A18" s="7"/>
      <c r="C18" s="7"/>
      <c r="D18" s="7"/>
      <c r="E18" s="90"/>
      <c r="F18" s="7"/>
      <c r="H18" s="91"/>
      <c r="I18" s="91"/>
      <c r="L18" s="91"/>
      <c r="M18" s="91"/>
      <c r="O18" s="91"/>
    </row>
    <row r="19" spans="1:17" ht="26.25">
      <c r="A19" s="7"/>
      <c r="C19" s="7"/>
      <c r="D19" s="7"/>
      <c r="E19" s="90"/>
      <c r="F19" s="7"/>
      <c r="G19" s="91"/>
      <c r="H19" s="91"/>
      <c r="I19" s="91"/>
      <c r="J19" s="91"/>
      <c r="M19" s="91"/>
      <c r="O19" s="91"/>
    </row>
    <row r="20" spans="1:17" ht="26.25">
      <c r="A20" s="7"/>
      <c r="C20" s="7"/>
      <c r="D20" s="7"/>
      <c r="E20" s="90"/>
      <c r="F20" s="7"/>
      <c r="H20" s="91"/>
      <c r="I20" s="91"/>
      <c r="J20" s="91"/>
      <c r="M20" s="91"/>
      <c r="N20" s="91"/>
      <c r="O20" s="91"/>
    </row>
    <row r="21" spans="1:17" ht="26.25">
      <c r="A21" s="7"/>
      <c r="C21" s="7"/>
      <c r="D21" s="7"/>
      <c r="E21" s="90"/>
      <c r="F21" s="7"/>
      <c r="H21" s="91"/>
      <c r="I21" s="91"/>
      <c r="J21" s="91"/>
      <c r="L21" s="91"/>
      <c r="M21" s="91"/>
    </row>
    <row r="22" spans="1:17" ht="26.25">
      <c r="A22" s="7"/>
      <c r="C22" s="7"/>
      <c r="D22" s="7"/>
      <c r="E22" s="90"/>
      <c r="F22" s="7"/>
      <c r="H22" s="91"/>
      <c r="I22" s="91"/>
      <c r="J22" s="91"/>
      <c r="L22" s="91"/>
      <c r="M22" s="91"/>
      <c r="O22" s="91"/>
    </row>
    <row r="23" spans="1:17" ht="26.25">
      <c r="A23" s="7"/>
      <c r="C23" s="7"/>
      <c r="D23" s="7"/>
      <c r="E23" s="90"/>
      <c r="F23" s="7"/>
      <c r="H23" s="91"/>
      <c r="I23" s="91"/>
      <c r="J23" s="91"/>
      <c r="M23" s="91"/>
      <c r="O23" s="91"/>
      <c r="Q23" s="91"/>
    </row>
    <row r="24" spans="1:17" ht="26.25">
      <c r="A24" s="7"/>
      <c r="C24" s="7"/>
      <c r="D24" s="7"/>
      <c r="E24" s="90"/>
      <c r="F24" s="7"/>
      <c r="H24" s="91"/>
      <c r="I24" s="91"/>
      <c r="J24" s="91"/>
      <c r="K24" s="91"/>
      <c r="L24" s="91"/>
      <c r="M24" s="91"/>
      <c r="N24" s="91"/>
      <c r="O24" s="91"/>
    </row>
    <row r="25" spans="1:17" ht="26.25">
      <c r="A25" s="7"/>
      <c r="C25" s="7"/>
      <c r="D25" s="7"/>
      <c r="E25" s="90"/>
      <c r="F25" s="7"/>
      <c r="H25" s="91"/>
      <c r="I25" s="91"/>
      <c r="J25" s="91"/>
      <c r="M25" s="91"/>
      <c r="O25" s="91"/>
    </row>
    <row r="26" spans="1:17" ht="26.25">
      <c r="A26" s="7"/>
      <c r="C26" s="7"/>
      <c r="D26" s="7"/>
      <c r="E26" s="90"/>
      <c r="F26" s="7"/>
      <c r="H26" s="91"/>
      <c r="I26" s="91"/>
      <c r="J26" s="91"/>
      <c r="L26" s="91"/>
      <c r="M26" s="91"/>
      <c r="O26" s="91"/>
    </row>
    <row r="27" spans="1:17" ht="26.25">
      <c r="A27" s="7"/>
      <c r="C27" s="7"/>
      <c r="D27" s="7"/>
      <c r="E27" s="90"/>
      <c r="F27" s="7"/>
      <c r="H27" s="91"/>
      <c r="I27" s="91"/>
      <c r="J27" s="91"/>
      <c r="L27" s="91"/>
      <c r="M27" s="91"/>
      <c r="O27" s="91"/>
    </row>
    <row r="28" spans="1:17" ht="26.25">
      <c r="A28" s="7"/>
      <c r="C28" s="7"/>
      <c r="D28" s="7"/>
      <c r="E28" s="90"/>
      <c r="F28" s="7"/>
      <c r="H28" s="91"/>
      <c r="I28" s="91"/>
      <c r="L28" s="91"/>
      <c r="M28" s="91"/>
      <c r="O28" s="91"/>
    </row>
    <row r="29" spans="1:17" ht="26.25">
      <c r="A29" s="7"/>
      <c r="C29" s="7"/>
      <c r="D29" s="7"/>
      <c r="E29" s="90"/>
      <c r="I29" s="91"/>
      <c r="M29" s="91"/>
      <c r="Q29" s="91"/>
    </row>
    <row r="30" spans="1:17" ht="26.25">
      <c r="A30" s="7"/>
      <c r="C30" s="7"/>
      <c r="D30" s="7"/>
      <c r="E30" s="90"/>
      <c r="I30" s="91"/>
      <c r="M30" s="91"/>
      <c r="O30" s="91"/>
    </row>
    <row r="31" spans="1:17" ht="26.25">
      <c r="A31" s="7"/>
      <c r="C31" s="7"/>
      <c r="D31" s="7"/>
      <c r="E31" s="90"/>
      <c r="I31" s="91"/>
      <c r="M31" s="91"/>
    </row>
    <row r="32" spans="1:17" ht="26.25">
      <c r="A32" s="7"/>
      <c r="C32" s="7"/>
      <c r="D32" s="7"/>
      <c r="E32" s="90"/>
      <c r="I32" s="91"/>
      <c r="M32" s="91"/>
    </row>
    <row r="33" spans="1:16" ht="26.25">
      <c r="A33" s="7"/>
      <c r="C33" s="7"/>
      <c r="D33" s="7"/>
      <c r="E33" s="90"/>
      <c r="I33" s="91"/>
      <c r="J33" s="91"/>
      <c r="L33" s="91"/>
      <c r="M33" s="91"/>
      <c r="O33" s="91"/>
    </row>
    <row r="34" spans="1:16" ht="26.25">
      <c r="A34" s="7"/>
      <c r="C34" s="7"/>
      <c r="D34" s="7"/>
      <c r="E34" s="90"/>
      <c r="H34" s="91"/>
      <c r="I34" s="91"/>
      <c r="J34" s="91"/>
      <c r="M34" s="91"/>
      <c r="O34" s="91"/>
    </row>
    <row r="35" spans="1:16" ht="26.25">
      <c r="A35" s="7"/>
      <c r="C35" s="7"/>
      <c r="D35" s="7"/>
      <c r="E35" s="90"/>
      <c r="H35" s="91"/>
      <c r="I35" s="91"/>
      <c r="J35" s="91"/>
      <c r="L35" s="91"/>
      <c r="M35" s="91"/>
      <c r="O35" s="91"/>
    </row>
    <row r="36" spans="1:16" ht="26.25">
      <c r="A36" s="7"/>
      <c r="C36" s="7"/>
      <c r="D36" s="7"/>
      <c r="E36" s="90"/>
      <c r="H36" s="91"/>
      <c r="I36" s="91"/>
      <c r="J36" s="91"/>
      <c r="L36" s="91"/>
      <c r="M36" s="91"/>
      <c r="O36" s="91"/>
    </row>
    <row r="37" spans="1:16" ht="26.25">
      <c r="A37" s="7"/>
      <c r="C37" s="7"/>
      <c r="D37" s="7"/>
      <c r="E37" s="90"/>
      <c r="I37" s="91"/>
      <c r="M37" s="91"/>
    </row>
    <row r="38" spans="1:16" ht="26.25">
      <c r="A38" s="7"/>
      <c r="C38" s="7"/>
      <c r="D38" s="7"/>
      <c r="E38" s="90"/>
      <c r="H38" s="91"/>
      <c r="I38" s="91"/>
      <c r="J38" s="91"/>
      <c r="O38" s="91"/>
    </row>
    <row r="39" spans="1:16" ht="26.25">
      <c r="A39" s="7"/>
      <c r="C39" s="7"/>
      <c r="D39" s="7"/>
      <c r="E39" s="90"/>
      <c r="I39" s="91"/>
      <c r="P39" s="91"/>
    </row>
    <row r="40" spans="1:16" ht="26.25">
      <c r="A40" s="7"/>
      <c r="C40" s="7"/>
      <c r="D40" s="7"/>
      <c r="E40" s="90"/>
      <c r="I40" s="91"/>
    </row>
    <row r="41" spans="1:16" ht="26.25">
      <c r="A41" s="7"/>
      <c r="C41" s="7"/>
      <c r="D41" s="7"/>
      <c r="E41" s="90"/>
      <c r="I41" s="91"/>
      <c r="M41" s="91"/>
    </row>
    <row r="42" spans="1:16" ht="26.25">
      <c r="A42" s="7"/>
      <c r="C42" s="7"/>
      <c r="D42" s="7"/>
      <c r="E42" s="90"/>
      <c r="I42" s="91"/>
      <c r="M42" s="91"/>
    </row>
    <row r="43" spans="1:16" ht="26.25">
      <c r="A43" s="7"/>
      <c r="C43" s="7"/>
      <c r="D43" s="7"/>
      <c r="E43" s="90"/>
      <c r="I43" s="91"/>
      <c r="M43" s="91"/>
    </row>
    <row r="44" spans="1:16" ht="26.25">
      <c r="A44" s="7"/>
      <c r="C44" s="7"/>
      <c r="D44" s="7"/>
      <c r="E44" s="90"/>
      <c r="H44" s="91"/>
      <c r="J44" s="91"/>
      <c r="L44" s="91"/>
      <c r="O44" s="91"/>
    </row>
    <row r="45" spans="1:16" ht="26.25">
      <c r="A45" s="7"/>
      <c r="C45" s="7"/>
      <c r="D45" s="7"/>
      <c r="E45" s="90"/>
      <c r="I45" s="91"/>
      <c r="M45" s="91"/>
    </row>
    <row r="46" spans="1:16" ht="26.25">
      <c r="A46" s="7"/>
      <c r="C46" s="7"/>
      <c r="D46" s="7"/>
      <c r="E46" s="90"/>
      <c r="H46" s="91"/>
      <c r="J46" s="91"/>
      <c r="O46" s="91"/>
    </row>
    <row r="47" spans="1:16" ht="26.25">
      <c r="A47" s="7"/>
      <c r="C47" s="7"/>
      <c r="D47" s="7"/>
      <c r="E47" s="90"/>
      <c r="P47" s="91"/>
    </row>
    <row r="48" spans="1:16" ht="26.25">
      <c r="A48" s="7"/>
      <c r="C48" s="7"/>
      <c r="D48" s="7"/>
      <c r="E48" s="90"/>
      <c r="I48" s="91"/>
    </row>
    <row r="49" spans="1:15" ht="26.25">
      <c r="A49" s="7"/>
      <c r="C49" s="7"/>
      <c r="D49" s="7"/>
      <c r="E49" s="90"/>
      <c r="I49" s="91"/>
      <c r="M49" s="91"/>
    </row>
    <row r="50" spans="1:15" ht="26.25">
      <c r="A50" s="7"/>
      <c r="C50" s="7"/>
      <c r="D50" s="7"/>
      <c r="E50" s="90"/>
      <c r="I50" s="91"/>
    </row>
    <row r="51" spans="1:15" ht="26.25">
      <c r="A51" s="7"/>
      <c r="C51" s="7"/>
      <c r="D51" s="7"/>
      <c r="E51" s="90"/>
      <c r="I51" s="91"/>
    </row>
    <row r="52" spans="1:15" ht="26.25">
      <c r="A52" s="7"/>
      <c r="C52" s="7"/>
      <c r="D52" s="7"/>
      <c r="E52" s="90"/>
      <c r="O52" s="91"/>
    </row>
    <row r="53" spans="1:15" ht="26.25">
      <c r="A53" s="7"/>
      <c r="C53" s="7"/>
      <c r="D53" s="7"/>
      <c r="E53" s="90"/>
      <c r="H53" s="91"/>
      <c r="L53" s="91"/>
      <c r="O53" s="91"/>
    </row>
    <row r="54" spans="1:15" ht="26.25">
      <c r="A54" s="7"/>
      <c r="C54" s="7"/>
      <c r="D54" s="7"/>
      <c r="E54" s="90"/>
      <c r="I54" s="9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5">
    <tabColor rgb="FF008000"/>
  </sheetPr>
  <dimension ref="A29:GB33"/>
  <sheetViews>
    <sheetView zoomScale="86" zoomScaleNormal="86" workbookViewId="0">
      <selection activeCell="U24" sqref="U24"/>
    </sheetView>
  </sheetViews>
  <sheetFormatPr baseColWidth="10" defaultRowHeight="15"/>
  <cols>
    <col min="2" max="2" width="12.140625" bestFit="1" customWidth="1"/>
    <col min="13" max="13" width="13" customWidth="1"/>
  </cols>
  <sheetData>
    <row r="29" spans="1:184" ht="15.75" thickBot="1"/>
    <row r="30" spans="1:184" s="24" customFormat="1" ht="15.75" thickBot="1">
      <c r="A30" s="27" t="s">
        <v>103</v>
      </c>
      <c r="B30" s="82">
        <v>42356</v>
      </c>
      <c r="C30" s="82"/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2"/>
      <c r="O30" s="82"/>
      <c r="P30" s="82"/>
      <c r="Q30" s="82"/>
      <c r="R30" s="82"/>
      <c r="S30" s="82"/>
      <c r="T30" s="82"/>
      <c r="U30" s="82"/>
      <c r="V30" s="82"/>
      <c r="W30" s="82"/>
      <c r="X30" s="82"/>
      <c r="Y30" s="82"/>
      <c r="Z30" s="82"/>
      <c r="AA30" s="82"/>
      <c r="AB30" s="82"/>
      <c r="AC30" s="82"/>
      <c r="AD30" s="82"/>
      <c r="AE30" s="82"/>
      <c r="AF30" s="82"/>
      <c r="AG30" s="82"/>
      <c r="AH30" s="82"/>
      <c r="AI30" s="82"/>
      <c r="AJ30" s="82"/>
      <c r="AK30" s="82"/>
      <c r="AL30" s="82"/>
      <c r="AM30" s="82"/>
      <c r="AN30" s="82"/>
      <c r="AO30" s="82"/>
      <c r="AP30" s="82"/>
      <c r="AQ30" s="82"/>
      <c r="AR30" s="82"/>
      <c r="AS30" s="82"/>
      <c r="AT30" s="82"/>
      <c r="AU30" s="82"/>
      <c r="AV30" s="82"/>
      <c r="AW30" s="82"/>
      <c r="AX30" s="82"/>
      <c r="AY30" s="82"/>
      <c r="AZ30" s="82"/>
      <c r="BA30" s="82"/>
      <c r="BB30" s="82"/>
      <c r="BC30" s="82"/>
      <c r="BD30" s="82"/>
      <c r="BE30" s="82"/>
      <c r="BF30" s="82"/>
      <c r="BG30" s="82"/>
      <c r="BH30" s="82"/>
      <c r="BI30" s="82"/>
      <c r="BJ30" s="82"/>
      <c r="BK30" s="82"/>
      <c r="BL30" s="82"/>
      <c r="BM30" s="82"/>
      <c r="BN30" s="82"/>
      <c r="BO30" s="82"/>
      <c r="BP30" s="82"/>
      <c r="BQ30" s="82"/>
      <c r="BR30" s="82"/>
      <c r="BS30" s="82"/>
      <c r="BT30" s="82"/>
      <c r="BU30" s="82"/>
      <c r="BV30" s="82"/>
      <c r="BW30" s="82"/>
      <c r="BX30" s="82"/>
      <c r="BY30" s="82"/>
      <c r="BZ30" s="82"/>
      <c r="CA30" s="82"/>
      <c r="CB30" s="82"/>
      <c r="CC30" s="82"/>
      <c r="CD30" s="82"/>
      <c r="CE30" s="82"/>
      <c r="CF30" s="82"/>
      <c r="CG30" s="82"/>
      <c r="CH30" s="82"/>
      <c r="CI30" s="82"/>
      <c r="CJ30" s="82"/>
      <c r="CK30" s="82"/>
      <c r="CL30" s="82"/>
      <c r="CM30" s="82"/>
      <c r="CN30" s="82"/>
      <c r="CO30" s="82"/>
      <c r="CP30" s="82"/>
      <c r="CQ30" s="82"/>
      <c r="CR30" s="82"/>
      <c r="CS30" s="82"/>
      <c r="CT30" s="82"/>
      <c r="CU30" s="82"/>
      <c r="CV30" s="82"/>
      <c r="CW30" s="82"/>
      <c r="CX30" s="82"/>
      <c r="CY30" s="82"/>
      <c r="CZ30" s="82"/>
      <c r="DA30" s="82"/>
      <c r="DB30" s="82"/>
      <c r="DC30" s="82"/>
      <c r="DD30" s="82"/>
      <c r="DE30" s="82"/>
      <c r="DF30" s="82"/>
      <c r="DG30" s="82"/>
      <c r="DH30" s="82"/>
      <c r="DI30" s="82"/>
      <c r="DJ30" s="82"/>
      <c r="DK30" s="82"/>
      <c r="DL30" s="82"/>
      <c r="DM30" s="82"/>
      <c r="DN30" s="82"/>
      <c r="DO30" s="82"/>
      <c r="DP30" s="82"/>
      <c r="DQ30" s="82"/>
      <c r="DR30" s="82"/>
      <c r="DS30" s="82"/>
      <c r="DT30" s="82"/>
      <c r="DU30" s="82"/>
      <c r="DV30" s="82"/>
      <c r="DW30" s="82"/>
      <c r="DX30" s="82"/>
      <c r="DY30" s="82"/>
      <c r="DZ30" s="82"/>
      <c r="EA30" s="82"/>
      <c r="EB30" s="82"/>
      <c r="EC30" s="82"/>
      <c r="ED30" s="82"/>
      <c r="EE30" s="82"/>
      <c r="EF30" s="82"/>
      <c r="EG30" s="82"/>
      <c r="EH30" s="82"/>
      <c r="EI30" s="82"/>
      <c r="EJ30" s="82"/>
      <c r="EK30" s="82"/>
      <c r="EL30" s="82"/>
      <c r="EM30" s="82"/>
      <c r="EN30" s="82"/>
      <c r="EO30" s="82"/>
      <c r="EP30" s="82"/>
      <c r="EQ30" s="82"/>
      <c r="ER30" s="82"/>
      <c r="ES30" s="82"/>
      <c r="ET30" s="82"/>
      <c r="EU30" s="82"/>
      <c r="EV30" s="82"/>
      <c r="EW30" s="82"/>
      <c r="EX30" s="82"/>
      <c r="EY30" s="82"/>
      <c r="EZ30" s="82"/>
      <c r="FA30" s="82"/>
      <c r="FB30" s="82"/>
      <c r="FC30" s="82"/>
      <c r="FD30" s="82"/>
      <c r="FE30" s="82"/>
      <c r="FF30" s="82"/>
      <c r="FG30" s="82"/>
      <c r="FH30" s="82"/>
      <c r="FI30" s="82"/>
      <c r="FJ30" s="82"/>
      <c r="FK30" s="82"/>
      <c r="FL30" s="82"/>
      <c r="FM30" s="82"/>
      <c r="FN30" s="82"/>
      <c r="FO30" s="82"/>
      <c r="FP30" s="82"/>
      <c r="FQ30" s="82"/>
      <c r="FR30" s="82"/>
      <c r="FS30" s="82"/>
      <c r="FT30" s="82"/>
      <c r="FU30" s="82"/>
      <c r="FV30" s="82"/>
      <c r="FW30" s="82"/>
      <c r="FX30" s="82"/>
      <c r="FY30" s="82"/>
      <c r="FZ30" s="82"/>
      <c r="GA30" s="82"/>
      <c r="GB30" s="82"/>
    </row>
    <row r="31" spans="1:184" s="25" customFormat="1">
      <c r="A31" s="28" t="s">
        <v>92</v>
      </c>
      <c r="B31" s="25">
        <v>30</v>
      </c>
    </row>
    <row r="32" spans="1:184" s="23" customFormat="1">
      <c r="A32" s="29" t="s">
        <v>85</v>
      </c>
      <c r="B32" s="23">
        <v>0</v>
      </c>
    </row>
    <row r="33" spans="1:2" s="26" customFormat="1" ht="15.75" thickBot="1">
      <c r="A33" s="30" t="s">
        <v>83</v>
      </c>
      <c r="B33" s="26">
        <v>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Feuil1">
    <tabColor theme="0"/>
    <pageSetUpPr fitToPage="1"/>
  </sheetPr>
  <dimension ref="A1:J133"/>
  <sheetViews>
    <sheetView zoomScale="85" zoomScaleNormal="85" workbookViewId="0">
      <pane ySplit="1" topLeftCell="A62" activePane="bottomLeft" state="frozen"/>
      <selection pane="bottomLeft" activeCell="D7" sqref="D7"/>
    </sheetView>
  </sheetViews>
  <sheetFormatPr baseColWidth="10" defaultRowHeight="15"/>
  <cols>
    <col min="1" max="1" width="8.140625" style="2" customWidth="1"/>
    <col min="2" max="2" width="19.140625" style="2" customWidth="1"/>
    <col min="3" max="3" width="7.28515625" style="2" customWidth="1"/>
    <col min="4" max="4" width="31.5703125" style="2" customWidth="1"/>
    <col min="5" max="5" width="14.5703125" style="2" customWidth="1"/>
    <col min="6" max="6" width="35" style="2" customWidth="1"/>
    <col min="7" max="7" width="20.28515625" style="2" customWidth="1"/>
    <col min="8" max="8" width="11" style="2" customWidth="1"/>
    <col min="9" max="9" width="11.42578125" style="2"/>
    <col min="10" max="10" width="17.42578125" style="2" customWidth="1"/>
    <col min="11" max="11" width="13" style="2" customWidth="1"/>
    <col min="12" max="16384" width="11.42578125" style="2"/>
  </cols>
  <sheetData>
    <row r="1" spans="1:8" ht="31.5" customHeight="1" thickBot="1">
      <c r="A1" s="9" t="s">
        <v>99</v>
      </c>
      <c r="B1" s="60" t="s">
        <v>1</v>
      </c>
      <c r="C1" s="60" t="s">
        <v>0</v>
      </c>
      <c r="D1" s="60" t="s">
        <v>2</v>
      </c>
      <c r="E1" s="60" t="s">
        <v>101</v>
      </c>
      <c r="F1" s="60" t="s">
        <v>3</v>
      </c>
      <c r="G1" s="60" t="s">
        <v>81</v>
      </c>
      <c r="H1" s="61" t="s">
        <v>82</v>
      </c>
    </row>
    <row r="2" spans="1:8" ht="66" customHeight="1">
      <c r="A2" s="36" t="str">
        <f>IF(B2="Externe","E"&amp;C2,IF(B2="Méthodologie","M"&amp;C2,IF(B2="Objectifs","O"&amp;C2,IF(B2="Planning","P"&amp;C2,IF(B2="Ressources","R"&amp;C2,IF(B2="Technique","T"&amp;C2,"Err format"))))))</f>
        <v>E1</v>
      </c>
      <c r="B2" s="44" t="s">
        <v>94</v>
      </c>
      <c r="C2" s="44">
        <v>1</v>
      </c>
      <c r="D2" s="44" t="s">
        <v>46</v>
      </c>
      <c r="E2" s="44"/>
      <c r="F2" s="44" t="s">
        <v>47</v>
      </c>
      <c r="G2" s="44"/>
      <c r="H2" s="45" t="s">
        <v>83</v>
      </c>
    </row>
    <row r="3" spans="1:8" ht="40.5" customHeight="1">
      <c r="A3" s="11" t="str">
        <f t="shared" ref="A3:A65" si="0">IF(B3="Externe","E"&amp;C3,IF(B3="Méthodologie","M"&amp;C3,IF(B3="Objectifs","O"&amp;C3,IF(B3="Planning","P"&amp;C3,IF(B3="Ressources","R"&amp;C3,IF(B3="Technique","T"&amp;C3,"Err format"))))))</f>
        <v>E2</v>
      </c>
      <c r="B3" s="3" t="s">
        <v>94</v>
      </c>
      <c r="C3" s="3">
        <v>2</v>
      </c>
      <c r="D3" s="3" t="s">
        <v>108</v>
      </c>
      <c r="E3" s="3"/>
      <c r="F3" s="3" t="s">
        <v>57</v>
      </c>
      <c r="G3" s="3"/>
      <c r="H3" s="46" t="s">
        <v>85</v>
      </c>
    </row>
    <row r="4" spans="1:8" ht="40.5" customHeight="1">
      <c r="A4" s="11" t="str">
        <f t="shared" si="0"/>
        <v>E3</v>
      </c>
      <c r="B4" s="3" t="s">
        <v>94</v>
      </c>
      <c r="C4" s="3">
        <v>3</v>
      </c>
      <c r="D4" s="3" t="s">
        <v>43</v>
      </c>
      <c r="E4" s="3"/>
      <c r="F4" s="3" t="s">
        <v>129</v>
      </c>
      <c r="G4" s="3"/>
      <c r="H4" s="46" t="s">
        <v>83</v>
      </c>
    </row>
    <row r="5" spans="1:8" ht="40.5" customHeight="1">
      <c r="A5" s="11" t="str">
        <f t="shared" si="0"/>
        <v>E4</v>
      </c>
      <c r="B5" s="3" t="s">
        <v>94</v>
      </c>
      <c r="C5" s="43">
        <v>4</v>
      </c>
      <c r="D5" s="43" t="s">
        <v>134</v>
      </c>
      <c r="E5" s="43"/>
      <c r="F5" s="43"/>
      <c r="G5" s="43"/>
      <c r="H5" s="59" t="s">
        <v>128</v>
      </c>
    </row>
    <row r="6" spans="1:8" ht="40.5" customHeight="1">
      <c r="A6" s="11" t="str">
        <f t="shared" si="0"/>
        <v>E6</v>
      </c>
      <c r="B6" s="3" t="s">
        <v>94</v>
      </c>
      <c r="C6" s="43">
        <v>6</v>
      </c>
      <c r="D6" s="43" t="s">
        <v>135</v>
      </c>
      <c r="E6" s="43"/>
      <c r="F6" s="43"/>
      <c r="G6" s="43"/>
      <c r="H6" s="59" t="s">
        <v>83</v>
      </c>
    </row>
    <row r="7" spans="1:8" ht="40.5" customHeight="1">
      <c r="A7" s="58" t="str">
        <f t="shared" si="0"/>
        <v>E7</v>
      </c>
      <c r="B7" s="3" t="s">
        <v>94</v>
      </c>
      <c r="C7" s="43">
        <v>7</v>
      </c>
      <c r="D7" s="43" t="s">
        <v>138</v>
      </c>
      <c r="E7" s="43"/>
      <c r="F7" s="43"/>
      <c r="G7" s="43"/>
      <c r="H7" s="59"/>
    </row>
    <row r="8" spans="1:8" ht="40.5" customHeight="1">
      <c r="A8" s="58" t="str">
        <f t="shared" si="0"/>
        <v>E8</v>
      </c>
      <c r="B8" s="3" t="s">
        <v>94</v>
      </c>
      <c r="C8" s="43">
        <v>8</v>
      </c>
      <c r="D8" s="43" t="s">
        <v>142</v>
      </c>
      <c r="E8" s="43"/>
      <c r="F8" s="43"/>
      <c r="G8" s="43"/>
      <c r="H8" s="59"/>
    </row>
    <row r="9" spans="1:8" ht="40.5" customHeight="1">
      <c r="A9" s="58" t="str">
        <f t="shared" si="0"/>
        <v>E9</v>
      </c>
      <c r="B9" s="3" t="s">
        <v>94</v>
      </c>
      <c r="C9" s="43">
        <v>9</v>
      </c>
      <c r="D9" s="43" t="s">
        <v>136</v>
      </c>
      <c r="E9" s="43"/>
      <c r="F9" s="43" t="s">
        <v>137</v>
      </c>
      <c r="G9" s="43"/>
      <c r="H9" s="59"/>
    </row>
    <row r="10" spans="1:8" ht="40.5" customHeight="1">
      <c r="A10" s="58" t="str">
        <f t="shared" si="0"/>
        <v>E10</v>
      </c>
      <c r="B10" s="3" t="s">
        <v>94</v>
      </c>
      <c r="C10" s="43">
        <v>10</v>
      </c>
      <c r="D10" s="43" t="s">
        <v>139</v>
      </c>
      <c r="E10" s="43"/>
      <c r="F10" s="43"/>
      <c r="G10" s="43"/>
      <c r="H10" s="59"/>
    </row>
    <row r="11" spans="1:8" ht="40.5" customHeight="1" thickBot="1">
      <c r="A11" s="41" t="str">
        <f t="shared" si="0"/>
        <v>E11</v>
      </c>
      <c r="B11" s="47" t="s">
        <v>94</v>
      </c>
      <c r="C11" s="43">
        <v>11</v>
      </c>
      <c r="D11" s="47" t="s">
        <v>131</v>
      </c>
      <c r="E11" s="47"/>
      <c r="F11" s="47"/>
      <c r="G11" s="47"/>
      <c r="H11" s="53"/>
    </row>
    <row r="12" spans="1:8" ht="78.75">
      <c r="A12" s="36" t="str">
        <f t="shared" si="0"/>
        <v>M1</v>
      </c>
      <c r="B12" s="44" t="s">
        <v>6</v>
      </c>
      <c r="C12" s="44">
        <v>1</v>
      </c>
      <c r="D12" s="44" t="s">
        <v>107</v>
      </c>
      <c r="E12" s="44"/>
      <c r="F12" s="44" t="s">
        <v>7</v>
      </c>
      <c r="G12" s="44"/>
      <c r="H12" s="45" t="s">
        <v>85</v>
      </c>
    </row>
    <row r="13" spans="1:8" ht="63">
      <c r="A13" s="11" t="str">
        <f t="shared" si="0"/>
        <v>M2</v>
      </c>
      <c r="B13" s="3" t="s">
        <v>6</v>
      </c>
      <c r="C13" s="3">
        <v>2</v>
      </c>
      <c r="D13" s="3" t="s">
        <v>8</v>
      </c>
      <c r="E13" s="3"/>
      <c r="F13" s="3" t="s">
        <v>9</v>
      </c>
      <c r="G13" s="3" t="s">
        <v>10</v>
      </c>
      <c r="H13" s="46" t="s">
        <v>84</v>
      </c>
    </row>
    <row r="14" spans="1:8" ht="31.5">
      <c r="A14" s="11" t="str">
        <f t="shared" si="0"/>
        <v>M3</v>
      </c>
      <c r="B14" s="3" t="s">
        <v>6</v>
      </c>
      <c r="C14" s="3">
        <v>3</v>
      </c>
      <c r="D14" s="3" t="s">
        <v>109</v>
      </c>
      <c r="E14" s="3"/>
      <c r="F14" s="3" t="s">
        <v>18</v>
      </c>
      <c r="G14" s="3" t="s">
        <v>19</v>
      </c>
      <c r="H14" s="46" t="s">
        <v>85</v>
      </c>
    </row>
    <row r="15" spans="1:8" ht="47.25">
      <c r="A15" s="11" t="str">
        <f t="shared" si="0"/>
        <v>M4</v>
      </c>
      <c r="B15" s="4" t="s">
        <v>6</v>
      </c>
      <c r="C15" s="3">
        <v>4</v>
      </c>
      <c r="D15" s="3" t="s">
        <v>20</v>
      </c>
      <c r="E15" s="3"/>
      <c r="F15" s="4"/>
      <c r="G15" s="5" t="s">
        <v>21</v>
      </c>
      <c r="H15" s="46" t="s">
        <v>84</v>
      </c>
    </row>
    <row r="16" spans="1:8" ht="110.25">
      <c r="A16" s="11" t="str">
        <f t="shared" si="0"/>
        <v>M5</v>
      </c>
      <c r="B16" s="3" t="s">
        <v>6</v>
      </c>
      <c r="C16" s="3">
        <v>5</v>
      </c>
      <c r="D16" s="3" t="s">
        <v>22</v>
      </c>
      <c r="E16" s="3"/>
      <c r="F16" s="3" t="s">
        <v>23</v>
      </c>
      <c r="G16" s="3" t="s">
        <v>24</v>
      </c>
      <c r="H16" s="46" t="s">
        <v>85</v>
      </c>
    </row>
    <row r="17" spans="1:8" ht="63">
      <c r="A17" s="11" t="str">
        <f t="shared" si="0"/>
        <v>M6</v>
      </c>
      <c r="B17" s="3" t="s">
        <v>6</v>
      </c>
      <c r="C17" s="3">
        <v>6</v>
      </c>
      <c r="D17" s="3" t="s">
        <v>25</v>
      </c>
      <c r="E17" s="3"/>
      <c r="F17" s="3" t="s">
        <v>26</v>
      </c>
      <c r="G17" s="3" t="s">
        <v>27</v>
      </c>
      <c r="H17" s="46" t="s">
        <v>83</v>
      </c>
    </row>
    <row r="18" spans="1:8" ht="63">
      <c r="A18" s="11" t="str">
        <f t="shared" si="0"/>
        <v>M7</v>
      </c>
      <c r="B18" s="3" t="s">
        <v>6</v>
      </c>
      <c r="C18" s="3">
        <v>7</v>
      </c>
      <c r="D18" s="3" t="s">
        <v>28</v>
      </c>
      <c r="E18" s="3"/>
      <c r="F18" s="3" t="s">
        <v>29</v>
      </c>
      <c r="G18" s="3" t="s">
        <v>30</v>
      </c>
      <c r="H18" s="46" t="s">
        <v>85</v>
      </c>
    </row>
    <row r="19" spans="1:8" ht="47.25">
      <c r="A19" s="11" t="str">
        <f t="shared" si="0"/>
        <v>M8</v>
      </c>
      <c r="B19" s="3" t="s">
        <v>6</v>
      </c>
      <c r="C19" s="3">
        <v>8</v>
      </c>
      <c r="D19" s="3" t="s">
        <v>50</v>
      </c>
      <c r="E19" s="3"/>
      <c r="F19" s="3" t="s">
        <v>51</v>
      </c>
      <c r="G19" s="3"/>
      <c r="H19" s="46" t="s">
        <v>85</v>
      </c>
    </row>
    <row r="20" spans="1:8" ht="47.25">
      <c r="A20" s="11" t="str">
        <f t="shared" si="0"/>
        <v>M9</v>
      </c>
      <c r="B20" s="3" t="s">
        <v>6</v>
      </c>
      <c r="C20" s="3">
        <v>9</v>
      </c>
      <c r="D20" s="3" t="s">
        <v>55</v>
      </c>
      <c r="E20" s="3"/>
      <c r="F20" s="3" t="s">
        <v>56</v>
      </c>
      <c r="G20" s="3"/>
      <c r="H20" s="46" t="s">
        <v>83</v>
      </c>
    </row>
    <row r="21" spans="1:8" ht="47.25">
      <c r="A21" s="11" t="str">
        <f t="shared" si="0"/>
        <v>M10</v>
      </c>
      <c r="B21" s="3" t="s">
        <v>6</v>
      </c>
      <c r="C21" s="3">
        <v>10</v>
      </c>
      <c r="D21" s="3" t="s">
        <v>110</v>
      </c>
      <c r="E21" s="3"/>
      <c r="F21" s="3" t="s">
        <v>65</v>
      </c>
      <c r="G21" s="3"/>
      <c r="H21" s="46" t="s">
        <v>83</v>
      </c>
    </row>
    <row r="22" spans="1:8" ht="16.5" thickBot="1">
      <c r="A22" s="41" t="str">
        <f t="shared" si="0"/>
        <v>M11</v>
      </c>
      <c r="B22" s="47" t="s">
        <v>6</v>
      </c>
      <c r="C22" s="47">
        <v>11</v>
      </c>
      <c r="D22" s="47" t="s">
        <v>131</v>
      </c>
      <c r="E22" s="47"/>
      <c r="F22" s="47"/>
      <c r="G22" s="47"/>
      <c r="H22" s="53"/>
    </row>
    <row r="23" spans="1:8" ht="15.75">
      <c r="A23" s="36" t="str">
        <f t="shared" si="0"/>
        <v>O1</v>
      </c>
      <c r="B23" s="44" t="s">
        <v>95</v>
      </c>
      <c r="C23" s="44">
        <v>1</v>
      </c>
      <c r="D23" s="44" t="s">
        <v>143</v>
      </c>
      <c r="E23" s="44"/>
      <c r="F23" s="44"/>
      <c r="G23" s="44"/>
      <c r="H23" s="45" t="s">
        <v>83</v>
      </c>
    </row>
    <row r="24" spans="1:8" ht="31.5">
      <c r="A24" s="11" t="str">
        <f t="shared" si="0"/>
        <v>O2</v>
      </c>
      <c r="B24" s="3" t="s">
        <v>95</v>
      </c>
      <c r="C24" s="3">
        <v>2</v>
      </c>
      <c r="D24" s="3" t="s">
        <v>4</v>
      </c>
      <c r="E24" s="3"/>
      <c r="F24" s="4"/>
      <c r="G24" s="4"/>
      <c r="H24" s="46" t="s">
        <v>85</v>
      </c>
    </row>
    <row r="25" spans="1:8" ht="31.5">
      <c r="A25" s="11" t="str">
        <f t="shared" si="0"/>
        <v>O3</v>
      </c>
      <c r="B25" s="3" t="s">
        <v>95</v>
      </c>
      <c r="C25" s="3">
        <v>3</v>
      </c>
      <c r="D25" s="3" t="s">
        <v>44</v>
      </c>
      <c r="E25" s="3"/>
      <c r="F25" s="3" t="s">
        <v>45</v>
      </c>
      <c r="G25" s="3"/>
      <c r="H25" s="46" t="s">
        <v>83</v>
      </c>
    </row>
    <row r="26" spans="1:8" ht="31.5">
      <c r="A26" s="11" t="str">
        <f t="shared" si="0"/>
        <v>O4</v>
      </c>
      <c r="B26" s="3" t="s">
        <v>95</v>
      </c>
      <c r="C26" s="3">
        <v>4</v>
      </c>
      <c r="D26" s="3" t="s">
        <v>130</v>
      </c>
      <c r="E26" s="3"/>
      <c r="F26" s="3" t="s">
        <v>52</v>
      </c>
      <c r="G26" s="3"/>
      <c r="H26" s="46" t="s">
        <v>83</v>
      </c>
    </row>
    <row r="27" spans="1:8" ht="63">
      <c r="A27" s="11" t="str">
        <f t="shared" si="0"/>
        <v>O5</v>
      </c>
      <c r="B27" s="3" t="s">
        <v>95</v>
      </c>
      <c r="C27" s="3">
        <v>5</v>
      </c>
      <c r="D27" s="3" t="s">
        <v>53</v>
      </c>
      <c r="E27" s="3"/>
      <c r="F27" s="3" t="s">
        <v>54</v>
      </c>
      <c r="G27" s="3"/>
      <c r="H27" s="46" t="s">
        <v>83</v>
      </c>
    </row>
    <row r="28" spans="1:8" ht="63">
      <c r="A28" s="11" t="str">
        <f t="shared" si="0"/>
        <v>O6</v>
      </c>
      <c r="B28" s="3" t="s">
        <v>95</v>
      </c>
      <c r="C28" s="3">
        <v>6</v>
      </c>
      <c r="D28" s="3" t="s">
        <v>118</v>
      </c>
      <c r="E28" s="3"/>
      <c r="F28" s="3" t="s">
        <v>63</v>
      </c>
      <c r="G28" s="3" t="s">
        <v>64</v>
      </c>
      <c r="H28" s="46" t="s">
        <v>83</v>
      </c>
    </row>
    <row r="29" spans="1:8" ht="31.5">
      <c r="A29" s="11" t="str">
        <f t="shared" si="0"/>
        <v>O7</v>
      </c>
      <c r="B29" s="3" t="s">
        <v>95</v>
      </c>
      <c r="C29" s="3">
        <v>7</v>
      </c>
      <c r="D29" s="3" t="s">
        <v>88</v>
      </c>
      <c r="E29" s="3"/>
      <c r="F29" s="3"/>
      <c r="G29" s="3"/>
      <c r="H29" s="46" t="s">
        <v>85</v>
      </c>
    </row>
    <row r="30" spans="1:8" ht="78.75">
      <c r="A30" s="11" t="str">
        <f t="shared" si="0"/>
        <v>O8</v>
      </c>
      <c r="B30" s="3" t="s">
        <v>95</v>
      </c>
      <c r="C30" s="3">
        <v>8</v>
      </c>
      <c r="D30" s="3" t="s">
        <v>66</v>
      </c>
      <c r="E30" s="3"/>
      <c r="F30" s="3" t="s">
        <v>66</v>
      </c>
      <c r="G30" s="3" t="s">
        <v>67</v>
      </c>
      <c r="H30" s="46" t="s">
        <v>85</v>
      </c>
    </row>
    <row r="31" spans="1:8" ht="31.5">
      <c r="A31" s="11" t="str">
        <f t="shared" si="0"/>
        <v>O9</v>
      </c>
      <c r="B31" s="3" t="s">
        <v>95</v>
      </c>
      <c r="C31" s="3">
        <v>9</v>
      </c>
      <c r="D31" s="3" t="s">
        <v>72</v>
      </c>
      <c r="E31" s="3"/>
      <c r="F31" s="3" t="s">
        <v>72</v>
      </c>
      <c r="G31" s="3" t="s">
        <v>73</v>
      </c>
      <c r="H31" s="46" t="s">
        <v>83</v>
      </c>
    </row>
    <row r="32" spans="1:8" ht="16.5" thickBot="1">
      <c r="A32" s="41" t="str">
        <f t="shared" si="0"/>
        <v>O10</v>
      </c>
      <c r="B32" s="47" t="s">
        <v>95</v>
      </c>
      <c r="C32" s="47">
        <v>10</v>
      </c>
      <c r="D32" s="47" t="s">
        <v>131</v>
      </c>
      <c r="E32" s="47"/>
      <c r="F32" s="47"/>
      <c r="G32" s="47"/>
      <c r="H32" s="53"/>
    </row>
    <row r="33" spans="1:8" ht="47.25">
      <c r="A33" s="36" t="str">
        <f t="shared" si="0"/>
        <v>P1</v>
      </c>
      <c r="B33" s="44" t="s">
        <v>11</v>
      </c>
      <c r="C33" s="44">
        <v>1</v>
      </c>
      <c r="D33" s="44" t="s">
        <v>12</v>
      </c>
      <c r="E33" s="44"/>
      <c r="F33" s="56" t="s">
        <v>13</v>
      </c>
      <c r="G33" s="44" t="s">
        <v>14</v>
      </c>
      <c r="H33" s="45" t="s">
        <v>85</v>
      </c>
    </row>
    <row r="34" spans="1:8" ht="63">
      <c r="A34" s="11" t="str">
        <f t="shared" si="0"/>
        <v>P2</v>
      </c>
      <c r="B34" s="3" t="s">
        <v>11</v>
      </c>
      <c r="C34" s="3">
        <v>2</v>
      </c>
      <c r="D34" s="3" t="s">
        <v>15</v>
      </c>
      <c r="E34" s="3"/>
      <c r="F34" s="3" t="s">
        <v>16</v>
      </c>
      <c r="G34" s="3" t="s">
        <v>17</v>
      </c>
      <c r="H34" s="46" t="s">
        <v>85</v>
      </c>
    </row>
    <row r="35" spans="1:8" ht="31.5">
      <c r="A35" s="11" t="str">
        <f t="shared" si="0"/>
        <v>P3</v>
      </c>
      <c r="B35" s="3" t="s">
        <v>11</v>
      </c>
      <c r="C35" s="3">
        <v>3</v>
      </c>
      <c r="D35" s="13" t="s">
        <v>96</v>
      </c>
      <c r="E35" s="13"/>
      <c r="F35" s="13" t="s">
        <v>97</v>
      </c>
      <c r="G35" s="13" t="s">
        <v>98</v>
      </c>
      <c r="H35" s="46" t="s">
        <v>85</v>
      </c>
    </row>
    <row r="36" spans="1:8" ht="47.25">
      <c r="A36" s="58" t="str">
        <f t="shared" si="0"/>
        <v>P4</v>
      </c>
      <c r="B36" s="3" t="s">
        <v>11</v>
      </c>
      <c r="C36" s="43">
        <v>4</v>
      </c>
      <c r="D36" s="51" t="s">
        <v>132</v>
      </c>
      <c r="E36" s="51"/>
      <c r="F36" s="51" t="s">
        <v>133</v>
      </c>
      <c r="G36" s="51"/>
      <c r="H36" s="59"/>
    </row>
    <row r="37" spans="1:8" ht="16.5" thickBot="1">
      <c r="A37" s="41" t="str">
        <f t="shared" si="0"/>
        <v>P5</v>
      </c>
      <c r="B37" s="47" t="s">
        <v>11</v>
      </c>
      <c r="C37" s="47">
        <v>5</v>
      </c>
      <c r="D37" s="57" t="s">
        <v>131</v>
      </c>
      <c r="E37" s="57"/>
      <c r="F37" s="57"/>
      <c r="G37" s="57"/>
      <c r="H37" s="53"/>
    </row>
    <row r="38" spans="1:8" ht="31.5">
      <c r="A38" s="40" t="str">
        <f t="shared" si="0"/>
        <v>R1</v>
      </c>
      <c r="B38" s="54" t="s">
        <v>100</v>
      </c>
      <c r="C38" s="54">
        <v>1</v>
      </c>
      <c r="D38" s="54" t="s">
        <v>111</v>
      </c>
      <c r="E38" s="54"/>
      <c r="F38" s="54"/>
      <c r="G38" s="54"/>
      <c r="H38" s="55" t="s">
        <v>83</v>
      </c>
    </row>
    <row r="39" spans="1:8" ht="31.5">
      <c r="A39" s="11" t="str">
        <f t="shared" si="0"/>
        <v>R2</v>
      </c>
      <c r="B39" s="3" t="s">
        <v>100</v>
      </c>
      <c r="C39" s="3">
        <v>2</v>
      </c>
      <c r="D39" s="3" t="s">
        <v>112</v>
      </c>
      <c r="E39" s="3"/>
      <c r="F39" s="3"/>
      <c r="G39" s="3"/>
      <c r="H39" s="46" t="s">
        <v>83</v>
      </c>
    </row>
    <row r="40" spans="1:8" ht="47.25">
      <c r="A40" s="11" t="str">
        <f t="shared" si="0"/>
        <v>R3</v>
      </c>
      <c r="B40" s="3" t="s">
        <v>100</v>
      </c>
      <c r="C40" s="3">
        <v>3</v>
      </c>
      <c r="D40" s="3" t="s">
        <v>121</v>
      </c>
      <c r="E40" s="3"/>
      <c r="F40" s="3" t="s">
        <v>86</v>
      </c>
      <c r="G40" s="3"/>
      <c r="H40" s="46" t="s">
        <v>83</v>
      </c>
    </row>
    <row r="41" spans="1:8" ht="31.5">
      <c r="A41" s="11" t="str">
        <f t="shared" si="0"/>
        <v>R4</v>
      </c>
      <c r="B41" s="3" t="s">
        <v>100</v>
      </c>
      <c r="C41" s="3">
        <v>4</v>
      </c>
      <c r="D41" s="3" t="s">
        <v>120</v>
      </c>
      <c r="E41" s="3"/>
      <c r="F41" s="3" t="s">
        <v>35</v>
      </c>
      <c r="G41" s="3"/>
      <c r="H41" s="46" t="s">
        <v>83</v>
      </c>
    </row>
    <row r="42" spans="1:8" ht="31.5">
      <c r="A42" s="11" t="str">
        <f t="shared" si="0"/>
        <v>R5</v>
      </c>
      <c r="B42" s="3" t="s">
        <v>100</v>
      </c>
      <c r="C42" s="3">
        <v>5</v>
      </c>
      <c r="D42" s="3" t="s">
        <v>113</v>
      </c>
      <c r="E42" s="3"/>
      <c r="F42" s="3" t="s">
        <v>36</v>
      </c>
      <c r="G42" s="3"/>
      <c r="H42" s="46" t="s">
        <v>85</v>
      </c>
    </row>
    <row r="43" spans="1:8" ht="78.75">
      <c r="A43" s="11" t="str">
        <f t="shared" si="0"/>
        <v>R6</v>
      </c>
      <c r="B43" s="3" t="s">
        <v>100</v>
      </c>
      <c r="C43" s="3">
        <v>6</v>
      </c>
      <c r="D43" s="3" t="s">
        <v>87</v>
      </c>
      <c r="E43" s="3"/>
      <c r="F43" s="3"/>
      <c r="G43" s="3" t="s">
        <v>37</v>
      </c>
      <c r="H43" s="46" t="s">
        <v>83</v>
      </c>
    </row>
    <row r="44" spans="1:8" ht="110.25">
      <c r="A44" s="11" t="str">
        <f t="shared" si="0"/>
        <v>R7</v>
      </c>
      <c r="B44" s="3" t="s">
        <v>100</v>
      </c>
      <c r="C44" s="3">
        <v>7</v>
      </c>
      <c r="D44" s="3" t="s">
        <v>119</v>
      </c>
      <c r="E44" s="3"/>
      <c r="F44" s="3" t="s">
        <v>38</v>
      </c>
      <c r="G44" s="3" t="s">
        <v>39</v>
      </c>
      <c r="H44" s="46" t="s">
        <v>83</v>
      </c>
    </row>
    <row r="45" spans="1:8" ht="47.25">
      <c r="A45" s="11" t="str">
        <f t="shared" si="0"/>
        <v>R8</v>
      </c>
      <c r="B45" s="3" t="s">
        <v>100</v>
      </c>
      <c r="C45" s="3">
        <v>8</v>
      </c>
      <c r="D45" s="3" t="s">
        <v>40</v>
      </c>
      <c r="E45" s="3"/>
      <c r="F45" s="3" t="s">
        <v>41</v>
      </c>
      <c r="G45" s="3"/>
      <c r="H45" s="46" t="s">
        <v>83</v>
      </c>
    </row>
    <row r="46" spans="1:8" ht="47.25">
      <c r="A46" s="11" t="str">
        <f t="shared" si="0"/>
        <v>R9</v>
      </c>
      <c r="B46" s="3" t="s">
        <v>100</v>
      </c>
      <c r="C46" s="3">
        <v>9</v>
      </c>
      <c r="D46" s="3" t="s">
        <v>122</v>
      </c>
      <c r="E46" s="3"/>
      <c r="F46" s="3" t="s">
        <v>42</v>
      </c>
      <c r="G46" s="3"/>
      <c r="H46" s="46" t="s">
        <v>83</v>
      </c>
    </row>
    <row r="47" spans="1:8" ht="47.25">
      <c r="A47" s="11" t="str">
        <f t="shared" si="0"/>
        <v>R10</v>
      </c>
      <c r="B47" s="3" t="s">
        <v>100</v>
      </c>
      <c r="C47" s="3">
        <v>10</v>
      </c>
      <c r="D47" s="3" t="s">
        <v>48</v>
      </c>
      <c r="E47" s="3"/>
      <c r="F47" s="3" t="s">
        <v>49</v>
      </c>
      <c r="G47" s="3"/>
      <c r="H47" s="46" t="s">
        <v>85</v>
      </c>
    </row>
    <row r="48" spans="1:8" ht="63">
      <c r="A48" s="11" t="str">
        <f t="shared" si="0"/>
        <v>R11</v>
      </c>
      <c r="B48" s="3" t="s">
        <v>100</v>
      </c>
      <c r="C48" s="3">
        <v>11</v>
      </c>
      <c r="D48" s="3" t="s">
        <v>58</v>
      </c>
      <c r="E48" s="3"/>
      <c r="F48" s="3" t="s">
        <v>59</v>
      </c>
      <c r="G48" s="3"/>
      <c r="H48" s="46" t="s">
        <v>85</v>
      </c>
    </row>
    <row r="49" spans="1:10" ht="15.75">
      <c r="A49" s="11" t="str">
        <f t="shared" si="0"/>
        <v>R12</v>
      </c>
      <c r="B49" s="3" t="s">
        <v>100</v>
      </c>
      <c r="C49" s="3">
        <v>12</v>
      </c>
      <c r="D49" s="3" t="s">
        <v>141</v>
      </c>
      <c r="E49" s="3"/>
      <c r="F49" s="3"/>
      <c r="G49" s="3"/>
      <c r="H49" s="46" t="s">
        <v>85</v>
      </c>
    </row>
    <row r="50" spans="1:10" ht="141.75">
      <c r="A50" s="11" t="str">
        <f t="shared" si="0"/>
        <v>R13</v>
      </c>
      <c r="B50" s="3" t="s">
        <v>100</v>
      </c>
      <c r="C50" s="3">
        <v>13</v>
      </c>
      <c r="D50" s="3" t="s">
        <v>60</v>
      </c>
      <c r="E50" s="3"/>
      <c r="F50" s="4" t="s">
        <v>61</v>
      </c>
      <c r="G50" s="4" t="s">
        <v>62</v>
      </c>
      <c r="H50" s="46" t="s">
        <v>85</v>
      </c>
    </row>
    <row r="51" spans="1:10" ht="15.75">
      <c r="A51" s="11" t="str">
        <f>IF(B52="Externe","E"&amp;C51,IF(B52="Méthodologie","M"&amp;C51,IF(B52="Objectifs","O"&amp;C51,IF(B52="Planning","P"&amp;C51,IF(B52="Ressources","R"&amp;C51,IF(B52="Technique","T"&amp;C51,"Err format"))))))</f>
        <v>R14</v>
      </c>
      <c r="C51" s="3">
        <v>14</v>
      </c>
      <c r="D51" s="3" t="s">
        <v>140</v>
      </c>
      <c r="E51" s="3"/>
      <c r="F51" s="3"/>
      <c r="G51" s="3"/>
      <c r="H51" s="46" t="s">
        <v>85</v>
      </c>
    </row>
    <row r="52" spans="1:10" ht="15.75">
      <c r="A52" s="11" t="str">
        <f>IF(B53="Externe","E"&amp;C52,IF(B53="Méthodologie","M"&amp;C52,IF(B53="Objectifs","O"&amp;C52,IF(B53="Planning","P"&amp;C52,IF(B53="Ressources","R"&amp;C52,IF(B53="Technique","T"&amp;C52,"Err format"))))))</f>
        <v>R15</v>
      </c>
      <c r="B52" s="3" t="s">
        <v>100</v>
      </c>
      <c r="C52" s="3">
        <v>15</v>
      </c>
      <c r="D52" s="3" t="s">
        <v>144</v>
      </c>
      <c r="E52" s="3"/>
      <c r="F52" s="3"/>
      <c r="G52" s="3"/>
      <c r="H52" s="46"/>
    </row>
    <row r="53" spans="1:10" ht="126">
      <c r="A53" s="11" t="str">
        <f t="shared" si="0"/>
        <v>R16</v>
      </c>
      <c r="B53" s="3" t="s">
        <v>100</v>
      </c>
      <c r="C53" s="3">
        <v>16</v>
      </c>
      <c r="D53" s="3" t="s">
        <v>79</v>
      </c>
      <c r="E53" s="3"/>
      <c r="F53" s="4"/>
      <c r="G53" s="3" t="s">
        <v>80</v>
      </c>
      <c r="H53" s="46" t="s">
        <v>83</v>
      </c>
    </row>
    <row r="54" spans="1:10" ht="16.5" thickBot="1">
      <c r="A54" s="41" t="str">
        <f t="shared" si="0"/>
        <v>R17</v>
      </c>
      <c r="B54" s="47" t="s">
        <v>100</v>
      </c>
      <c r="C54" s="3">
        <v>17</v>
      </c>
      <c r="D54" s="47" t="s">
        <v>131</v>
      </c>
      <c r="E54" s="47"/>
      <c r="F54" s="52"/>
      <c r="G54" s="47"/>
      <c r="H54" s="53"/>
    </row>
    <row r="55" spans="1:10" ht="63">
      <c r="A55" s="36" t="str">
        <f t="shared" si="0"/>
        <v>T1</v>
      </c>
      <c r="B55" s="44" t="s">
        <v>5</v>
      </c>
      <c r="C55" s="44">
        <v>1</v>
      </c>
      <c r="D55" s="44" t="s">
        <v>31</v>
      </c>
      <c r="E55" s="44"/>
      <c r="F55" s="44" t="s">
        <v>31</v>
      </c>
      <c r="G55" s="44" t="s">
        <v>32</v>
      </c>
      <c r="H55" s="45" t="s">
        <v>83</v>
      </c>
    </row>
    <row r="56" spans="1:10" ht="47.25">
      <c r="A56" s="11" t="str">
        <f t="shared" si="0"/>
        <v>T2</v>
      </c>
      <c r="B56" s="3" t="s">
        <v>5</v>
      </c>
      <c r="C56" s="3">
        <v>2</v>
      </c>
      <c r="D56" s="3" t="s">
        <v>114</v>
      </c>
      <c r="E56" s="3"/>
      <c r="F56" s="3" t="s">
        <v>33</v>
      </c>
      <c r="G56" s="3" t="s">
        <v>34</v>
      </c>
      <c r="H56" s="46" t="s">
        <v>106</v>
      </c>
    </row>
    <row r="57" spans="1:10" ht="31.5">
      <c r="A57" s="11" t="str">
        <f t="shared" si="0"/>
        <v>T3</v>
      </c>
      <c r="B57" s="3" t="s">
        <v>5</v>
      </c>
      <c r="C57" s="3">
        <v>3</v>
      </c>
      <c r="D57" s="3" t="s">
        <v>104</v>
      </c>
      <c r="E57" s="3"/>
      <c r="F57" s="3"/>
      <c r="G57" s="3"/>
      <c r="H57" s="46" t="s">
        <v>85</v>
      </c>
    </row>
    <row r="58" spans="1:10" ht="15.75">
      <c r="A58" s="11" t="str">
        <f t="shared" si="0"/>
        <v>T4</v>
      </c>
      <c r="B58" s="3" t="s">
        <v>5</v>
      </c>
      <c r="C58" s="3">
        <v>4</v>
      </c>
      <c r="D58" s="3" t="s">
        <v>115</v>
      </c>
      <c r="E58" s="3"/>
      <c r="F58" s="3"/>
      <c r="G58" s="3"/>
      <c r="H58" s="46" t="s">
        <v>85</v>
      </c>
    </row>
    <row r="59" spans="1:10" ht="31.5">
      <c r="A59" s="11" t="str">
        <f t="shared" si="0"/>
        <v>T5</v>
      </c>
      <c r="B59" s="3" t="s">
        <v>5</v>
      </c>
      <c r="C59" s="3">
        <v>5</v>
      </c>
      <c r="D59" s="3" t="s">
        <v>68</v>
      </c>
      <c r="E59" s="3"/>
      <c r="F59" s="3" t="s">
        <v>69</v>
      </c>
      <c r="G59" s="3"/>
      <c r="H59" s="46" t="s">
        <v>85</v>
      </c>
    </row>
    <row r="60" spans="1:10" ht="31.5">
      <c r="A60" s="11" t="str">
        <f t="shared" si="0"/>
        <v>T6</v>
      </c>
      <c r="B60" s="3" t="s">
        <v>5</v>
      </c>
      <c r="C60" s="3">
        <v>6</v>
      </c>
      <c r="D60" s="3" t="s">
        <v>116</v>
      </c>
      <c r="E60" s="3"/>
      <c r="F60" s="3" t="s">
        <v>70</v>
      </c>
      <c r="G60" s="3"/>
      <c r="H60" s="46" t="s">
        <v>85</v>
      </c>
    </row>
    <row r="61" spans="1:10" ht="47.25">
      <c r="A61" s="11" t="str">
        <f t="shared" si="0"/>
        <v>T7</v>
      </c>
      <c r="B61" s="3" t="s">
        <v>5</v>
      </c>
      <c r="C61" s="3">
        <v>7</v>
      </c>
      <c r="D61" s="3" t="s">
        <v>117</v>
      </c>
      <c r="E61" s="3"/>
      <c r="F61" s="3" t="s">
        <v>71</v>
      </c>
      <c r="G61" s="3"/>
      <c r="H61" s="46" t="s">
        <v>85</v>
      </c>
    </row>
    <row r="62" spans="1:10" ht="31.5">
      <c r="A62" s="11" t="str">
        <f t="shared" si="0"/>
        <v>T8</v>
      </c>
      <c r="B62" s="3" t="s">
        <v>5</v>
      </c>
      <c r="C62" s="3">
        <v>8</v>
      </c>
      <c r="D62" s="3" t="s">
        <v>74</v>
      </c>
      <c r="E62" s="3"/>
      <c r="F62" s="3" t="s">
        <v>75</v>
      </c>
      <c r="G62" s="3"/>
      <c r="H62" s="46" t="s">
        <v>85</v>
      </c>
    </row>
    <row r="63" spans="1:10" ht="126">
      <c r="A63" s="11" t="str">
        <f t="shared" si="0"/>
        <v>T9</v>
      </c>
      <c r="B63" s="3" t="s">
        <v>5</v>
      </c>
      <c r="C63" s="3">
        <v>9</v>
      </c>
      <c r="D63" s="3" t="s">
        <v>76</v>
      </c>
      <c r="E63" s="3"/>
      <c r="F63" s="3" t="s">
        <v>77</v>
      </c>
      <c r="G63" s="3" t="s">
        <v>78</v>
      </c>
      <c r="H63" s="46" t="s">
        <v>83</v>
      </c>
    </row>
    <row r="64" spans="1:10" ht="31.5">
      <c r="A64" s="11" t="str">
        <f t="shared" si="0"/>
        <v>T10</v>
      </c>
      <c r="B64" s="3" t="s">
        <v>5</v>
      </c>
      <c r="C64" s="33">
        <v>10</v>
      </c>
      <c r="D64" s="35" t="s">
        <v>105</v>
      </c>
      <c r="E64" s="34"/>
      <c r="F64" s="33"/>
      <c r="G64" s="33"/>
      <c r="H64" s="12" t="s">
        <v>85</v>
      </c>
      <c r="I64" s="6"/>
      <c r="J64" s="6"/>
    </row>
    <row r="65" spans="1:10" ht="16.5" thickBot="1">
      <c r="A65" s="41" t="str">
        <f t="shared" si="0"/>
        <v>T11</v>
      </c>
      <c r="B65" s="47" t="s">
        <v>5</v>
      </c>
      <c r="C65" s="48">
        <v>11</v>
      </c>
      <c r="D65" s="49" t="s">
        <v>131</v>
      </c>
      <c r="E65" s="50"/>
      <c r="F65" s="48"/>
      <c r="G65" s="48"/>
      <c r="H65" s="42"/>
      <c r="I65" s="6"/>
      <c r="J65" s="6"/>
    </row>
    <row r="66" spans="1:10">
      <c r="B66" s="7"/>
      <c r="C66" s="7"/>
      <c r="D66" s="8"/>
      <c r="E66" s="8"/>
      <c r="F66" s="7"/>
      <c r="G66" s="7"/>
      <c r="H66" s="6"/>
      <c r="I66" s="6"/>
      <c r="J66" s="6"/>
    </row>
    <row r="67" spans="1:10">
      <c r="B67" s="1"/>
      <c r="C67" s="1"/>
      <c r="D67" s="8"/>
      <c r="E67" s="8"/>
      <c r="F67" s="7"/>
      <c r="G67" s="7"/>
      <c r="H67" s="6"/>
      <c r="I67" s="6"/>
      <c r="J67" s="6"/>
    </row>
    <row r="68" spans="1:10">
      <c r="B68" s="7"/>
      <c r="C68" s="7"/>
      <c r="D68" s="8"/>
      <c r="E68" s="8"/>
      <c r="F68" s="7"/>
      <c r="G68" s="7"/>
      <c r="H68" s="6"/>
      <c r="I68" s="6"/>
      <c r="J68" s="6"/>
    </row>
    <row r="69" spans="1:10">
      <c r="B69" s="7"/>
      <c r="C69" s="7"/>
      <c r="D69" s="8"/>
      <c r="E69" s="8"/>
      <c r="F69" s="7"/>
      <c r="G69" s="7"/>
      <c r="H69" s="6"/>
      <c r="I69" s="6"/>
      <c r="J69" s="6"/>
    </row>
    <row r="70" spans="1:10">
      <c r="B70" s="7"/>
      <c r="C70" s="7"/>
      <c r="D70" s="8"/>
      <c r="E70" s="8"/>
      <c r="F70" s="7"/>
      <c r="G70" s="7"/>
      <c r="H70" s="6"/>
      <c r="I70" s="6"/>
      <c r="J70" s="6"/>
    </row>
    <row r="71" spans="1:10">
      <c r="B71" s="7"/>
      <c r="C71" s="7"/>
      <c r="D71" s="8"/>
      <c r="E71" s="8"/>
      <c r="F71" s="7"/>
      <c r="G71" s="7"/>
      <c r="H71" s="6"/>
      <c r="I71" s="6"/>
      <c r="J71" s="6"/>
    </row>
    <row r="72" spans="1:10">
      <c r="B72" s="7"/>
      <c r="C72" s="7"/>
      <c r="D72" s="8"/>
      <c r="E72" s="8"/>
      <c r="F72" s="7"/>
      <c r="G72" s="7"/>
      <c r="H72" s="6"/>
      <c r="I72" s="6"/>
      <c r="J72" s="6"/>
    </row>
    <row r="73" spans="1:10">
      <c r="B73" s="7"/>
      <c r="C73" s="7"/>
      <c r="D73" s="8"/>
      <c r="E73" s="8"/>
      <c r="F73" s="7"/>
      <c r="G73" s="7"/>
      <c r="H73" s="6"/>
      <c r="I73" s="6"/>
      <c r="J73" s="6"/>
    </row>
    <row r="74" spans="1:10">
      <c r="B74" s="7"/>
      <c r="C74" s="7"/>
      <c r="D74" s="8"/>
      <c r="E74" s="8"/>
      <c r="F74" s="7"/>
      <c r="G74" s="7"/>
      <c r="H74" s="6"/>
      <c r="I74" s="6"/>
      <c r="J74" s="6"/>
    </row>
    <row r="75" spans="1:10">
      <c r="B75" s="7"/>
      <c r="C75" s="7"/>
      <c r="D75" s="8"/>
      <c r="E75" s="8"/>
      <c r="F75" s="7"/>
      <c r="G75" s="7"/>
      <c r="H75" s="6"/>
      <c r="I75" s="6"/>
      <c r="J75" s="6"/>
    </row>
    <row r="76" spans="1:10">
      <c r="B76" s="7"/>
      <c r="C76" s="7"/>
      <c r="D76" s="8"/>
      <c r="E76" s="8"/>
      <c r="F76" s="7"/>
      <c r="G76" s="7"/>
      <c r="H76" s="6"/>
      <c r="I76" s="6"/>
      <c r="J76" s="6"/>
    </row>
    <row r="77" spans="1:10">
      <c r="B77" s="7"/>
      <c r="C77" s="7"/>
      <c r="D77" s="8"/>
      <c r="E77" s="8"/>
      <c r="F77" s="7"/>
      <c r="G77" s="7"/>
      <c r="H77" s="6"/>
      <c r="I77" s="6"/>
      <c r="J77" s="6"/>
    </row>
    <row r="78" spans="1:10">
      <c r="B78" s="7"/>
      <c r="C78" s="7"/>
      <c r="D78" s="8"/>
      <c r="E78" s="8"/>
      <c r="F78" s="7"/>
      <c r="G78" s="7"/>
      <c r="H78" s="6"/>
      <c r="I78" s="6"/>
      <c r="J78" s="6"/>
    </row>
    <row r="79" spans="1:10">
      <c r="B79" s="7"/>
      <c r="C79" s="7"/>
      <c r="D79" s="8"/>
      <c r="E79" s="8"/>
      <c r="F79" s="7"/>
      <c r="G79" s="7"/>
      <c r="H79" s="6"/>
      <c r="I79" s="6"/>
      <c r="J79" s="6"/>
    </row>
    <row r="80" spans="1:10">
      <c r="B80" s="7"/>
      <c r="C80" s="7"/>
      <c r="D80" s="8"/>
      <c r="E80" s="8"/>
      <c r="F80" s="7"/>
      <c r="G80" s="7"/>
      <c r="H80" s="6"/>
      <c r="I80" s="6"/>
      <c r="J80" s="6"/>
    </row>
    <row r="81" spans="2:10">
      <c r="B81" s="7"/>
      <c r="C81" s="7"/>
      <c r="D81" s="8"/>
      <c r="E81" s="8"/>
      <c r="F81" s="7"/>
      <c r="G81" s="7"/>
      <c r="H81" s="6"/>
      <c r="I81" s="6"/>
      <c r="J81" s="6"/>
    </row>
    <row r="82" spans="2:10">
      <c r="B82" s="7"/>
      <c r="C82" s="7"/>
      <c r="D82" s="8"/>
      <c r="E82" s="8"/>
      <c r="F82" s="7"/>
      <c r="G82" s="7"/>
      <c r="H82" s="6"/>
      <c r="I82" s="6"/>
      <c r="J82" s="6"/>
    </row>
    <row r="83" spans="2:10">
      <c r="B83" s="7"/>
      <c r="C83" s="7"/>
      <c r="D83" s="8"/>
      <c r="E83" s="8"/>
      <c r="F83" s="7"/>
      <c r="G83" s="7"/>
      <c r="H83" s="6"/>
      <c r="I83" s="6"/>
      <c r="J83" s="6"/>
    </row>
    <row r="84" spans="2:10">
      <c r="B84" s="1"/>
      <c r="C84" s="1"/>
      <c r="D84" s="8"/>
      <c r="E84" s="8"/>
      <c r="F84" s="7"/>
      <c r="G84" s="7"/>
      <c r="H84" s="6"/>
      <c r="I84" s="6"/>
      <c r="J84" s="6"/>
    </row>
    <row r="85" spans="2:10">
      <c r="B85" s="7"/>
      <c r="C85" s="7"/>
      <c r="D85" s="8"/>
      <c r="E85" s="8"/>
      <c r="F85" s="7"/>
      <c r="G85" s="7"/>
      <c r="H85" s="6"/>
      <c r="I85" s="6"/>
      <c r="J85" s="6"/>
    </row>
    <row r="86" spans="2:10">
      <c r="B86" s="1"/>
      <c r="C86" s="1"/>
      <c r="D86" s="8"/>
      <c r="E86" s="8"/>
      <c r="F86" s="7"/>
      <c r="G86" s="7"/>
      <c r="H86" s="6"/>
      <c r="I86" s="6"/>
      <c r="J86" s="6"/>
    </row>
    <row r="87" spans="2:10">
      <c r="B87" s="1"/>
      <c r="C87" s="1"/>
      <c r="D87" s="8"/>
      <c r="E87" s="8"/>
      <c r="F87" s="7"/>
      <c r="G87" s="7"/>
      <c r="H87" s="6"/>
      <c r="I87" s="6"/>
      <c r="J87" s="6"/>
    </row>
    <row r="88" spans="2:10">
      <c r="B88" s="7"/>
      <c r="C88" s="7"/>
      <c r="D88" s="8"/>
      <c r="E88" s="8"/>
      <c r="F88" s="7"/>
      <c r="G88" s="7"/>
      <c r="H88" s="6"/>
      <c r="I88" s="6"/>
      <c r="J88" s="6"/>
    </row>
    <row r="89" spans="2:10">
      <c r="B89" s="1"/>
      <c r="C89" s="1"/>
      <c r="D89" s="8"/>
      <c r="E89" s="8"/>
      <c r="F89" s="7"/>
      <c r="G89" s="7"/>
      <c r="H89" s="6"/>
      <c r="I89" s="6"/>
      <c r="J89" s="6"/>
    </row>
    <row r="90" spans="2:10">
      <c r="B90" s="1"/>
      <c r="C90" s="1"/>
      <c r="D90" s="8"/>
      <c r="E90" s="8"/>
      <c r="F90" s="7"/>
      <c r="G90" s="7"/>
      <c r="H90" s="6"/>
      <c r="I90" s="6"/>
      <c r="J90" s="6"/>
    </row>
    <row r="91" spans="2:10">
      <c r="B91" s="7"/>
      <c r="C91" s="7"/>
      <c r="D91" s="8"/>
      <c r="E91" s="8"/>
      <c r="F91" s="7"/>
      <c r="G91" s="7"/>
      <c r="H91" s="6"/>
      <c r="I91" s="6"/>
      <c r="J91" s="6"/>
    </row>
    <row r="92" spans="2:10">
      <c r="B92" s="7"/>
      <c r="C92" s="7"/>
      <c r="D92" s="8"/>
      <c r="E92" s="8"/>
      <c r="F92" s="7"/>
      <c r="G92" s="7"/>
      <c r="H92" s="6"/>
      <c r="I92" s="6"/>
      <c r="J92" s="6"/>
    </row>
    <row r="93" spans="2:10">
      <c r="B93" s="7"/>
      <c r="C93" s="7"/>
      <c r="D93" s="8"/>
      <c r="E93" s="8"/>
      <c r="F93" s="7"/>
      <c r="G93" s="7"/>
      <c r="H93" s="6"/>
      <c r="I93" s="6"/>
      <c r="J93" s="6"/>
    </row>
    <row r="94" spans="2:10">
      <c r="B94" s="6"/>
      <c r="C94" s="6"/>
      <c r="D94" s="6"/>
      <c r="E94" s="6"/>
      <c r="F94" s="6"/>
      <c r="G94" s="6"/>
      <c r="H94" s="6"/>
      <c r="I94" s="6"/>
      <c r="J94" s="6"/>
    </row>
    <row r="95" spans="2:10">
      <c r="B95" s="6"/>
      <c r="C95" s="6"/>
      <c r="D95" s="6"/>
      <c r="E95" s="6"/>
      <c r="F95" s="6"/>
      <c r="G95" s="6"/>
      <c r="H95" s="6"/>
      <c r="I95" s="6"/>
      <c r="J95" s="6"/>
    </row>
    <row r="96" spans="2:10">
      <c r="B96" s="6"/>
      <c r="C96" s="6"/>
      <c r="D96" s="6"/>
      <c r="E96" s="6"/>
      <c r="F96" s="6"/>
      <c r="G96" s="6"/>
      <c r="H96" s="6"/>
      <c r="I96" s="6"/>
      <c r="J96" s="6"/>
    </row>
    <row r="97" spans="2:10">
      <c r="B97" s="6"/>
      <c r="C97" s="6"/>
      <c r="D97" s="6"/>
      <c r="E97" s="6"/>
      <c r="F97" s="6"/>
      <c r="G97" s="6"/>
      <c r="H97" s="6"/>
      <c r="I97" s="6"/>
      <c r="J97" s="6"/>
    </row>
    <row r="98" spans="2:10">
      <c r="B98" s="6"/>
      <c r="C98" s="6"/>
      <c r="D98" s="6"/>
      <c r="E98" s="6"/>
      <c r="F98" s="6"/>
      <c r="G98" s="6"/>
      <c r="H98" s="6"/>
      <c r="I98" s="6"/>
      <c r="J98" s="6"/>
    </row>
    <row r="99" spans="2:10">
      <c r="B99" s="6"/>
      <c r="C99" s="6"/>
      <c r="D99" s="6"/>
      <c r="E99" s="6"/>
      <c r="F99" s="6"/>
      <c r="G99" s="6"/>
      <c r="H99" s="6"/>
      <c r="I99" s="6"/>
      <c r="J99" s="6"/>
    </row>
    <row r="100" spans="2:10">
      <c r="B100" s="6"/>
      <c r="C100" s="6"/>
      <c r="D100" s="6"/>
      <c r="E100" s="6"/>
      <c r="F100" s="6"/>
      <c r="G100" s="6"/>
      <c r="H100" s="6"/>
      <c r="I100" s="6"/>
      <c r="J100" s="6"/>
    </row>
    <row r="101" spans="2:10">
      <c r="B101" s="6"/>
      <c r="C101" s="6"/>
      <c r="D101" s="6"/>
      <c r="E101" s="6"/>
      <c r="F101" s="6"/>
      <c r="G101" s="6"/>
      <c r="H101" s="6"/>
      <c r="I101" s="6"/>
      <c r="J101" s="6"/>
    </row>
    <row r="102" spans="2:10">
      <c r="B102" s="6"/>
      <c r="C102" s="6"/>
      <c r="D102" s="6"/>
      <c r="E102" s="6"/>
      <c r="F102" s="6"/>
      <c r="G102" s="6"/>
      <c r="H102" s="6"/>
      <c r="I102" s="6"/>
      <c r="J102" s="6"/>
    </row>
    <row r="103" spans="2:10">
      <c r="B103" s="6"/>
      <c r="C103" s="6"/>
      <c r="D103" s="6"/>
      <c r="E103" s="6"/>
      <c r="F103" s="6"/>
      <c r="G103" s="6"/>
      <c r="H103" s="6"/>
      <c r="I103" s="6"/>
      <c r="J103" s="6"/>
    </row>
    <row r="104" spans="2:10">
      <c r="B104" s="6"/>
      <c r="C104" s="6"/>
      <c r="D104" s="6"/>
      <c r="E104" s="6"/>
      <c r="F104" s="6"/>
      <c r="G104" s="6"/>
      <c r="H104" s="6"/>
      <c r="I104" s="6"/>
      <c r="J104" s="6"/>
    </row>
    <row r="105" spans="2:10">
      <c r="B105" s="6"/>
      <c r="C105" s="6"/>
      <c r="D105" s="6"/>
      <c r="E105" s="6"/>
      <c r="F105" s="6"/>
      <c r="G105" s="6"/>
      <c r="H105" s="6"/>
      <c r="I105" s="6"/>
      <c r="J105" s="6"/>
    </row>
    <row r="106" spans="2:10">
      <c r="B106" s="6"/>
      <c r="C106" s="6"/>
      <c r="D106" s="6"/>
      <c r="E106" s="6"/>
      <c r="F106" s="6"/>
      <c r="G106" s="6"/>
      <c r="H106" s="6"/>
      <c r="I106" s="6"/>
      <c r="J106" s="6"/>
    </row>
    <row r="107" spans="2:10">
      <c r="B107" s="6"/>
      <c r="C107" s="6"/>
      <c r="D107" s="6"/>
      <c r="E107" s="6"/>
      <c r="F107" s="6"/>
      <c r="G107" s="6"/>
      <c r="H107" s="6"/>
      <c r="I107" s="6"/>
      <c r="J107" s="6"/>
    </row>
    <row r="108" spans="2:10">
      <c r="B108" s="6"/>
      <c r="C108" s="6"/>
      <c r="D108" s="6"/>
      <c r="E108" s="6"/>
      <c r="F108" s="6"/>
      <c r="G108" s="6"/>
      <c r="H108" s="6"/>
      <c r="I108" s="6"/>
      <c r="J108" s="6"/>
    </row>
    <row r="109" spans="2:10">
      <c r="B109" s="6"/>
      <c r="C109" s="6"/>
      <c r="D109" s="6"/>
      <c r="E109" s="6"/>
      <c r="F109" s="6"/>
      <c r="G109" s="6"/>
      <c r="H109" s="6"/>
      <c r="I109" s="6"/>
      <c r="J109" s="6"/>
    </row>
    <row r="110" spans="2:10">
      <c r="B110" s="6"/>
      <c r="C110" s="6"/>
      <c r="D110" s="6"/>
      <c r="E110" s="6"/>
      <c r="F110" s="6"/>
      <c r="G110" s="6"/>
      <c r="H110" s="6"/>
      <c r="I110" s="6"/>
      <c r="J110" s="6"/>
    </row>
    <row r="111" spans="2:10">
      <c r="B111" s="6"/>
      <c r="C111" s="6"/>
      <c r="D111" s="6"/>
      <c r="E111" s="6"/>
      <c r="F111" s="6"/>
      <c r="G111" s="6"/>
      <c r="H111" s="6"/>
      <c r="I111" s="6"/>
      <c r="J111" s="6"/>
    </row>
    <row r="112" spans="2:10">
      <c r="B112" s="6"/>
      <c r="C112" s="6"/>
      <c r="D112" s="6"/>
      <c r="E112" s="6"/>
      <c r="F112" s="6"/>
      <c r="G112" s="6"/>
      <c r="H112" s="6"/>
      <c r="I112" s="6"/>
      <c r="J112" s="6"/>
    </row>
    <row r="113" spans="2:10">
      <c r="B113" s="6"/>
      <c r="C113" s="6"/>
      <c r="D113" s="6"/>
      <c r="E113" s="6"/>
      <c r="F113" s="6"/>
      <c r="G113" s="6"/>
      <c r="H113" s="6"/>
      <c r="I113" s="6"/>
      <c r="J113" s="6"/>
    </row>
    <row r="114" spans="2:10">
      <c r="B114" s="6"/>
      <c r="C114" s="6"/>
      <c r="D114" s="6"/>
      <c r="E114" s="6"/>
      <c r="F114" s="6"/>
      <c r="G114" s="6"/>
      <c r="H114" s="6"/>
      <c r="I114" s="6"/>
      <c r="J114" s="6"/>
    </row>
    <row r="115" spans="2:10">
      <c r="B115" s="6"/>
      <c r="C115" s="6"/>
      <c r="D115" s="6"/>
      <c r="E115" s="6"/>
      <c r="F115" s="6"/>
      <c r="G115" s="6"/>
      <c r="H115" s="6"/>
      <c r="I115" s="6"/>
      <c r="J115" s="6"/>
    </row>
    <row r="116" spans="2:10">
      <c r="B116" s="6"/>
      <c r="C116" s="6"/>
      <c r="D116" s="6"/>
      <c r="E116" s="6"/>
      <c r="F116" s="6"/>
      <c r="G116" s="6"/>
      <c r="H116" s="6"/>
      <c r="I116" s="6"/>
      <c r="J116" s="6"/>
    </row>
    <row r="117" spans="2:10">
      <c r="B117" s="6"/>
      <c r="C117" s="6"/>
      <c r="D117" s="6"/>
      <c r="E117" s="6"/>
      <c r="F117" s="6"/>
      <c r="G117" s="6"/>
      <c r="H117" s="6"/>
      <c r="I117" s="6"/>
      <c r="J117" s="6"/>
    </row>
    <row r="118" spans="2:10">
      <c r="B118" s="6"/>
      <c r="C118" s="6"/>
      <c r="D118" s="6"/>
      <c r="E118" s="6"/>
      <c r="F118" s="6"/>
      <c r="G118" s="6"/>
      <c r="H118" s="6"/>
      <c r="I118" s="6"/>
      <c r="J118" s="6"/>
    </row>
    <row r="119" spans="2:10">
      <c r="B119" s="6"/>
      <c r="C119" s="6"/>
      <c r="D119" s="6"/>
      <c r="E119" s="6"/>
      <c r="F119" s="6"/>
      <c r="G119" s="6"/>
      <c r="H119" s="6"/>
      <c r="I119" s="6"/>
      <c r="J119" s="6"/>
    </row>
    <row r="120" spans="2:10">
      <c r="B120" s="6"/>
      <c r="C120" s="6"/>
      <c r="D120" s="6"/>
      <c r="E120" s="6"/>
      <c r="F120" s="6"/>
      <c r="G120" s="6"/>
      <c r="H120" s="6"/>
      <c r="I120" s="6"/>
      <c r="J120" s="6"/>
    </row>
    <row r="121" spans="2:10">
      <c r="B121" s="6"/>
      <c r="C121" s="6"/>
      <c r="D121" s="6"/>
      <c r="E121" s="6"/>
      <c r="F121" s="6"/>
      <c r="G121" s="6"/>
      <c r="H121" s="6"/>
      <c r="I121" s="6"/>
      <c r="J121" s="6"/>
    </row>
    <row r="122" spans="2:10">
      <c r="B122" s="6"/>
      <c r="C122" s="6"/>
      <c r="D122" s="6"/>
      <c r="E122" s="6"/>
      <c r="F122" s="6"/>
      <c r="G122" s="6"/>
      <c r="H122" s="6"/>
      <c r="I122" s="6"/>
      <c r="J122" s="6"/>
    </row>
    <row r="123" spans="2:10">
      <c r="B123" s="6"/>
      <c r="C123" s="6"/>
      <c r="D123" s="6"/>
      <c r="E123" s="6"/>
      <c r="F123" s="6"/>
      <c r="G123" s="6"/>
      <c r="H123" s="6"/>
      <c r="I123" s="6"/>
      <c r="J123" s="6"/>
    </row>
    <row r="124" spans="2:10">
      <c r="B124" s="6"/>
      <c r="C124" s="6"/>
      <c r="D124" s="6"/>
      <c r="E124" s="6"/>
      <c r="F124" s="6"/>
      <c r="G124" s="6"/>
      <c r="H124" s="6"/>
      <c r="I124" s="6"/>
      <c r="J124" s="6"/>
    </row>
    <row r="125" spans="2:10">
      <c r="B125" s="6"/>
      <c r="C125" s="6"/>
      <c r="D125" s="6"/>
      <c r="E125" s="6"/>
      <c r="F125" s="6"/>
      <c r="G125" s="6"/>
      <c r="H125" s="6"/>
      <c r="I125" s="6"/>
      <c r="J125" s="6"/>
    </row>
    <row r="126" spans="2:10">
      <c r="B126" s="6"/>
      <c r="C126" s="6"/>
      <c r="D126" s="6"/>
      <c r="E126" s="6"/>
      <c r="F126" s="6"/>
      <c r="G126" s="6"/>
      <c r="H126" s="6"/>
      <c r="I126" s="6"/>
      <c r="J126" s="6"/>
    </row>
    <row r="127" spans="2:10">
      <c r="B127" s="6"/>
      <c r="C127" s="6"/>
      <c r="D127" s="6"/>
      <c r="E127" s="6"/>
      <c r="F127" s="6"/>
      <c r="G127" s="6"/>
      <c r="H127" s="6"/>
      <c r="I127" s="6"/>
      <c r="J127" s="6"/>
    </row>
    <row r="128" spans="2:10">
      <c r="B128" s="6"/>
      <c r="C128" s="6"/>
      <c r="D128" s="6"/>
      <c r="E128" s="6"/>
      <c r="F128" s="6"/>
      <c r="G128" s="6"/>
      <c r="H128" s="6"/>
      <c r="I128" s="6"/>
      <c r="J128" s="6"/>
    </row>
    <row r="129" spans="2:10">
      <c r="B129" s="6"/>
      <c r="C129" s="6"/>
      <c r="D129" s="6"/>
      <c r="E129" s="6"/>
      <c r="F129" s="6"/>
      <c r="G129" s="6"/>
      <c r="H129" s="6"/>
      <c r="I129" s="6"/>
      <c r="J129" s="6"/>
    </row>
    <row r="130" spans="2:10">
      <c r="B130" s="6"/>
      <c r="C130" s="6"/>
      <c r="D130" s="6"/>
      <c r="E130" s="6"/>
      <c r="F130" s="6"/>
      <c r="G130" s="6"/>
      <c r="H130" s="6"/>
      <c r="I130" s="6"/>
      <c r="J130" s="6"/>
    </row>
    <row r="131" spans="2:10">
      <c r="B131" s="6"/>
      <c r="C131" s="6"/>
      <c r="D131" s="6"/>
      <c r="E131" s="6"/>
      <c r="F131" s="6"/>
      <c r="G131" s="6"/>
      <c r="H131" s="6"/>
      <c r="I131" s="6"/>
      <c r="J131" s="6"/>
    </row>
    <row r="132" spans="2:10">
      <c r="B132" s="6"/>
      <c r="C132" s="6"/>
      <c r="D132" s="6"/>
      <c r="E132" s="6"/>
      <c r="F132" s="6"/>
      <c r="G132" s="6"/>
      <c r="H132" s="6"/>
      <c r="I132" s="6"/>
      <c r="J132" s="6"/>
    </row>
    <row r="133" spans="2:10">
      <c r="B133" s="6"/>
      <c r="C133" s="6"/>
      <c r="D133" s="6"/>
      <c r="E133" s="6"/>
      <c r="F133" s="6"/>
      <c r="G133" s="6"/>
      <c r="H133" s="6"/>
      <c r="I133" s="6"/>
      <c r="J133" s="6"/>
    </row>
  </sheetData>
  <sortState ref="B2:M140">
    <sortCondition ref="B2:B140"/>
  </sortState>
  <printOptions horizontalCentered="1"/>
  <pageMargins left="0.31496062992125984" right="0.31496062992125984" top="0.35433070866141736" bottom="0.35433070866141736" header="0.31496062992125984" footer="0.11811023622047245"/>
  <pageSetup paperSize="9" scale="76" fitToWidth="3" fitToHeight="4" orientation="portrait" horizontalDpi="150" verticalDpi="15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Feuil4">
    <tabColor theme="0"/>
  </sheetPr>
  <dimension ref="A1:T13"/>
  <sheetViews>
    <sheetView workbookViewId="0">
      <selection activeCell="E8" sqref="E8"/>
    </sheetView>
  </sheetViews>
  <sheetFormatPr baseColWidth="10" defaultRowHeight="15"/>
  <cols>
    <col min="3" max="3" width="14" customWidth="1"/>
    <col min="7" max="7" width="18.7109375" customWidth="1"/>
    <col min="8" max="8" width="15.42578125" customWidth="1"/>
  </cols>
  <sheetData>
    <row r="1" spans="1:20">
      <c r="A1" s="83" t="s">
        <v>152</v>
      </c>
      <c r="B1" s="62" t="s">
        <v>154</v>
      </c>
      <c r="C1" s="37" t="s">
        <v>94</v>
      </c>
      <c r="D1" s="17">
        <v>30</v>
      </c>
      <c r="E1" s="20" t="s">
        <v>92</v>
      </c>
      <c r="F1" s="67">
        <v>30</v>
      </c>
      <c r="G1" s="70" t="s">
        <v>156</v>
      </c>
      <c r="H1" s="73" t="s">
        <v>160</v>
      </c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</row>
    <row r="2" spans="1:20" ht="15.75" thickBot="1">
      <c r="A2" s="63" t="s">
        <v>153</v>
      </c>
      <c r="B2" s="64" t="s">
        <v>155</v>
      </c>
      <c r="C2" s="38" t="s">
        <v>6</v>
      </c>
      <c r="D2" s="18">
        <v>1</v>
      </c>
      <c r="E2" s="21" t="s">
        <v>85</v>
      </c>
      <c r="F2" s="68"/>
      <c r="G2" s="71" t="s">
        <v>157</v>
      </c>
      <c r="H2" s="74" t="s">
        <v>160</v>
      </c>
    </row>
    <row r="3" spans="1:20" ht="15.75" thickBot="1">
      <c r="A3" s="63"/>
      <c r="B3" s="64"/>
      <c r="C3" s="38" t="s">
        <v>95</v>
      </c>
      <c r="D3" s="18">
        <v>1</v>
      </c>
      <c r="E3" s="22" t="s">
        <v>83</v>
      </c>
      <c r="F3" s="69"/>
      <c r="G3" s="80"/>
    </row>
    <row r="4" spans="1:20">
      <c r="A4" s="63"/>
      <c r="B4" s="64"/>
      <c r="C4" s="38" t="s">
        <v>11</v>
      </c>
      <c r="D4" s="18">
        <v>1</v>
      </c>
      <c r="G4" s="71"/>
    </row>
    <row r="5" spans="1:20">
      <c r="A5" s="63"/>
      <c r="B5" s="64"/>
      <c r="C5" s="38" t="s">
        <v>100</v>
      </c>
      <c r="D5" s="18">
        <v>1</v>
      </c>
      <c r="G5" s="71"/>
    </row>
    <row r="6" spans="1:20" ht="15.75" thickBot="1">
      <c r="A6" s="65"/>
      <c r="B6" s="64"/>
      <c r="C6" s="39" t="s">
        <v>5</v>
      </c>
      <c r="D6" s="19">
        <v>1</v>
      </c>
      <c r="G6" s="71"/>
    </row>
    <row r="7" spans="1:20">
      <c r="A7" s="63"/>
      <c r="B7" s="64"/>
      <c r="C7" s="15"/>
      <c r="D7" s="15"/>
      <c r="G7" s="71"/>
    </row>
    <row r="8" spans="1:20">
      <c r="A8" s="63"/>
      <c r="B8" s="64"/>
      <c r="G8" s="71"/>
    </row>
    <row r="9" spans="1:20">
      <c r="A9" s="63"/>
      <c r="B9" s="64"/>
      <c r="G9" s="71"/>
    </row>
    <row r="10" spans="1:20" ht="15.75" thickBot="1">
      <c r="D10" s="75"/>
      <c r="E10" s="75"/>
      <c r="G10" s="72"/>
    </row>
    <row r="11" spans="1:20">
      <c r="D11" s="75"/>
      <c r="E11" s="75"/>
      <c r="G11" s="75"/>
    </row>
    <row r="12" spans="1:20">
      <c r="D12" s="75"/>
      <c r="E12" s="75"/>
    </row>
    <row r="13" spans="1:20">
      <c r="A13" s="75"/>
      <c r="B13" s="75"/>
      <c r="D13" s="75"/>
      <c r="E13" s="75"/>
    </row>
  </sheetData>
  <sortState ref="A1:B3">
    <sortCondition ref="A1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Graphiques</vt:lpstr>
      </vt:variant>
      <vt:variant>
        <vt:i4>2</vt:i4>
      </vt:variant>
    </vt:vector>
  </HeadingPairs>
  <TitlesOfParts>
    <vt:vector size="8" baseType="lpstr">
      <vt:lpstr>Notice</vt:lpstr>
      <vt:lpstr>Gestion des risques</vt:lpstr>
      <vt:lpstr>Raci</vt:lpstr>
      <vt:lpstr>Suivi impact</vt:lpstr>
      <vt:lpstr>Catalogue</vt:lpstr>
      <vt:lpstr>Code</vt:lpstr>
      <vt:lpstr>Matrice de risques</vt:lpstr>
      <vt:lpstr>Radar risques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Gestion des risques</dc:title>
  <dc:creator/>
  <cp:lastModifiedBy>RL2D795N</cp:lastModifiedBy>
  <dcterms:created xsi:type="dcterms:W3CDTF">2006-09-12T15:06:44Z</dcterms:created>
  <dcterms:modified xsi:type="dcterms:W3CDTF">2015-12-18T13:23:31Z</dcterms:modified>
</cp:coreProperties>
</file>